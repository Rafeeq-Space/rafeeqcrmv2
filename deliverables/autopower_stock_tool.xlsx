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عليمات" sheetId="1" state="visible" r:id="rId1"/>
    <sheet name="بحث سريع" sheetId="2" state="visible" r:id="rId2"/>
    <sheet name="المخزو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2B4C6F"/>
      <sz val="16"/>
    </font>
    <font>
      <name val="Arial"/>
      <color rgb="001C1E22"/>
      <sz val="11"/>
    </font>
    <font>
      <name val="Arial"/>
      <b val="1"/>
      <color rgb="001C1E22"/>
      <sz val="12"/>
    </font>
    <font>
      <name val="Arial"/>
      <b val="1"/>
      <color rgb="00FFFFFF"/>
      <sz val="11"/>
    </font>
    <font>
      <name val="Arial"/>
      <color rgb="001C1E22"/>
      <sz val="10.5"/>
    </font>
    <font>
      <name val="Arial"/>
      <b val="1"/>
      <color rgb="008A8F98"/>
      <sz val="10"/>
    </font>
    <font>
      <name val="Arial"/>
      <i val="1"/>
      <color rgb="008A8F98"/>
      <sz val="10"/>
    </font>
    <font>
      <name val="Arial"/>
      <b val="1"/>
      <color rgb="002B4C6F"/>
      <sz val="15"/>
    </font>
    <font>
      <name val="Arial"/>
      <b val="1"/>
      <color rgb="001C1E22"/>
      <sz val="11"/>
    </font>
    <font>
      <name val="Arial"/>
      <b val="1"/>
      <color rgb="000000FF"/>
      <sz val="11"/>
    </font>
    <font>
      <name val="Arial"/>
      <i val="1"/>
      <color rgb="00565F68"/>
      <sz val="9.5"/>
    </font>
    <font>
      <name val="Arial"/>
      <b val="1"/>
      <color rgb="003F8F5F"/>
      <sz val="11"/>
    </font>
    <font>
      <name val="Arial"/>
      <b val="1"/>
      <color rgb="00FFFFFF"/>
      <sz val="10.5"/>
    </font>
  </fonts>
  <fills count="5">
    <fill>
      <patternFill/>
    </fill>
    <fill>
      <patternFill patternType="gray125"/>
    </fill>
    <fill>
      <patternFill patternType="solid">
        <fgColor rgb="002B4C6F"/>
      </patternFill>
    </fill>
    <fill>
      <patternFill patternType="solid">
        <fgColor rgb="00F1EFEA"/>
      </patternFill>
    </fill>
    <fill>
      <patternFill patternType="solid">
        <fgColor rgb="00FFF9D6"/>
      </patternFill>
    </fill>
  </fills>
  <borders count="2">
    <border>
      <left/>
      <right/>
      <top/>
      <bottom/>
      <diagonal/>
    </border>
    <border>
      <left style="thin">
        <color rgb="00DEDAD2"/>
      </left>
      <right style="thin">
        <color rgb="00DEDAD2"/>
      </right>
      <top style="thin">
        <color rgb="00DEDAD2"/>
      </top>
      <bottom style="thin">
        <color rgb="00DEDAD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right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3" fontId="10" fillId="4" borderId="1" applyAlignment="1" pivotButton="0" quotePrefix="0" xfId="0">
      <alignment horizontal="center"/>
    </xf>
    <xf numFmtId="0" fontId="11" fillId="0" borderId="0" pivotButton="0" quotePrefix="0" xfId="0"/>
    <xf numFmtId="0" fontId="10" fillId="4" borderId="1" applyAlignment="1" pivotButton="0" quotePrefix="0" xfId="0">
      <alignment horizontal="center"/>
    </xf>
    <xf numFmtId="0" fontId="12" fillId="0" borderId="0" pivotButton="0" quotePrefix="0" xfId="0"/>
    <xf numFmtId="0" fontId="1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ventory" displayName="Inventory" ref="A1:T83" headerRowCount="1">
  <autoFilter ref="A1:T83"/>
  <tableColumns count="20">
    <tableColumn id="1" name="الماركة"/>
    <tableColumn id="2" name="الموديل"/>
    <tableColumn id="3" name="الفئة/الدرجة"/>
    <tableColumn id="4" name="سنة الموديل"/>
    <tableColumn id="5" name="ناقل الحركة"/>
    <tableColumn id="6" name="سعة المحرك (لتر)"/>
    <tableColumn id="7" name="نوع المقاعد"/>
    <tableColumn id="8" name="فتحة سقف"/>
    <tableColumn id="9" name="الأنواع (تقريبي)"/>
    <tableColumn id="10" name="شبابي"/>
    <tableColumn id="11" name="عائلي"/>
    <tableColumn id="12" name="رياضي"/>
    <tableColumn id="13" name="اقتصادي"/>
    <tableColumn id="14" name="فاخم"/>
    <tableColumn id="15" name="عملي"/>
    <tableColumn id="16" name="السعر نقدًا (من)"/>
    <tableColumn id="17" name="السعر نقدًا (الى)"/>
    <tableColumn id="18" name="سعر التمويل (من)"/>
    <tableColumn id="19" name="عدد الوحدات المتوفرة"/>
    <tableColumn id="20" name="الفروع/المواقع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" t="inlineStr">
        <is>
          <t>أداة بحث المندوب في مخزون السيارات — أوتو باور</t>
        </is>
      </c>
    </row>
    <row r="2" ht="14" customHeight="1">
      <c r="A2" s="2" t="inlineStr"/>
    </row>
    <row r="3" ht="16" customHeight="1">
      <c r="A3" s="3" t="inlineStr">
        <is>
          <t>محتوى الملف:</t>
        </is>
      </c>
    </row>
    <row r="4" ht="16" customHeight="1">
      <c r="A4" s="2" t="inlineStr">
        <is>
          <t>1) ورقة "المخزون" — كل السيارات المتوفرة فعليًا (82 موديل/فئة)، كل عمود له سهم فلترة فوقه.</t>
        </is>
      </c>
    </row>
    <row r="5" ht="16" customHeight="1">
      <c r="A5" s="2" t="inlineStr">
        <is>
          <t>2) ورقة "بحث سريع" — تكتب شروطك (سعر أقصى، فئة، فتحة سقف، ماركة، ناقل حركة، كلمة بحث) والنتيجة تتحدث فورًا.</t>
        </is>
      </c>
    </row>
    <row r="6" ht="14" customHeight="1">
      <c r="A6" s="2" t="inlineStr"/>
    </row>
    <row r="7" ht="16" customHeight="1">
      <c r="A7" s="3" t="inlineStr">
        <is>
          <t>كيف يستخدمها المندوب بسرعة:</t>
        </is>
      </c>
    </row>
    <row r="8" ht="18" customHeight="1">
      <c r="A8" s="2" t="inlineStr">
        <is>
          <t>• الطريقة الأولى (الأسرع لأي طلب محدد): روح لورقة "بحث سريع"، عبّي الخلايا الصفراء بالأعلى، والنتائج تترتب تلقائيًا من الأقرب للأرخص.</t>
        </is>
      </c>
    </row>
    <row r="9" ht="18" customHeight="1">
      <c r="A9" s="2" t="inlineStr">
        <is>
          <t>• الطريقة الثانية (لو تبي تتصفح بنفسك): روح لورقة "المخزون"، اضغط سهم أي عمود (السعر، الماركة، فتحة سقف...) وفلتر يدويًا.</t>
        </is>
      </c>
    </row>
    <row r="10" ht="14" customHeight="1">
      <c r="A10" s="2" t="inlineStr"/>
    </row>
    <row r="11" ht="16" customHeight="1">
      <c r="A11" s="3" t="inlineStr">
        <is>
          <t>ملاحظات مهمة:</t>
        </is>
      </c>
    </row>
    <row r="12" ht="16" customHeight="1">
      <c r="A12" s="2" t="inlineStr">
        <is>
          <t>• عمود "الأنواع" (شبابي/عائلي/رياضي/اقتصادي/فاخم/عملي) مستخرج من نص الوصف التسويقي لكل سيارة — تقريبي، وليس حقلاً رسميًا في النظام.</t>
        </is>
      </c>
    </row>
    <row r="13" ht="16" customHeight="1">
      <c r="A13" s="2" t="inlineStr">
        <is>
          <t>• عمود "فتحة سقف" نفس الشيء — من النص التسويقي، تأكد من الوحدة الفعلية قبل الوعد للعميل.</t>
        </is>
      </c>
    </row>
    <row r="14" ht="16" customHeight="1">
      <c r="A14" s="2" t="inlineStr">
        <is>
          <t>• هذا الملف لقطة بتاريخ 2026-07-07 — يحتاج تحديث يدوي بشكل دوري (أو ربطه بمصدر بيانات النظام الرسمي).</t>
        </is>
      </c>
    </row>
    <row r="15" ht="16" customHeight="1">
      <c r="A15" s="2" t="inlineStr">
        <is>
          <t>• البيانات لا تحتوي على أي بيانات عملاء أو حجوزات — فقط بيانات السيارات المتوفرة.</t>
        </is>
      </c>
    </row>
    <row r="16" ht="14" customHeight="1">
      <c r="A16" s="2" t="inlineStr"/>
    </row>
    <row r="17" ht="16" customHeight="1">
      <c r="A17" s="3" t="inlineStr">
        <is>
          <t>عن دعم الذكاء الاصطناعي (بحث بلغة طبيعية كاملة):</t>
        </is>
      </c>
    </row>
    <row r="18" ht="16" customHeight="1">
      <c r="A18" s="2" t="inlineStr">
        <is>
          <t>اكسل بصيغته العادية ما يقدر يفهم جملة حرة مثل "عايز سيارة شبابية اقل من 90 الف بفتحة سقف" ويحللها بذكاء —</t>
        </is>
      </c>
    </row>
    <row r="19" ht="16" customHeight="1">
      <c r="A19" s="2" t="inlineStr">
        <is>
          <t>هذا يحتاج أداة خارجية (مثل النموذج التجريبي HTML اللي جهزته لك)، أو Copilot in Excel لو متوفر عندكم في اشتراك Microsoft 365.</t>
        </is>
      </c>
    </row>
    <row r="20" ht="16" customHeight="1">
      <c r="A20" s="2" t="inlineStr">
        <is>
          <t>ورقة "بحث سريع" هنا بديل عملي بدون AI: نفس النتيجة تقريبًا، بس بخانات محددة بدل جملة حرة — وهو أسرع وأكثر ثباتًا لعمل يومي.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rightToLeft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0" customWidth="1" min="4" max="4"/>
    <col width="11" customWidth="1" min="5" max="5"/>
    <col width="13" customWidth="1" min="6" max="6"/>
    <col width="10" customWidth="1" min="7" max="7"/>
    <col width="10" customWidth="1" min="8" max="8"/>
    <col width="20" customWidth="1" min="9" max="9"/>
    <col width="8" customWidth="1" min="10" max="10"/>
    <col width="8" customWidth="1" min="11" max="11"/>
    <col width="8" customWidth="1" min="12" max="12"/>
    <col width="9" customWidth="1" min="13" max="13"/>
    <col width="8" customWidth="1" min="14" max="14"/>
    <col width="8" customWidth="1" min="15" max="15"/>
    <col width="14" customWidth="1" min="16" max="16"/>
    <col width="14" customWidth="1" min="17" max="17"/>
    <col width="14" customWidth="1" min="18" max="18"/>
    <col width="12" customWidth="1" min="19" max="19"/>
    <col width="26" customWidth="1" min="20" max="20"/>
  </cols>
  <sheetData>
    <row r="1" ht="26" customHeight="1">
      <c r="B1" s="10" t="inlineStr">
        <is>
          <t>بحث سريع عن سيارة — للمندوب</t>
        </is>
      </c>
    </row>
    <row r="3">
      <c r="A3" s="11" t="inlineStr">
        <is>
          <t>الحد الأقصى للسعر نقدًا (ريال)</t>
        </is>
      </c>
      <c r="B3" s="12" t="n"/>
      <c r="C3" s="13" t="inlineStr">
        <is>
          <t>اتركها فاضية = بدون حد أقصى</t>
        </is>
      </c>
    </row>
    <row r="4">
      <c r="A4" s="11" t="inlineStr">
        <is>
          <t>الفئة</t>
        </is>
      </c>
      <c r="B4" s="14" t="inlineStr">
        <is>
          <t>الكل</t>
        </is>
      </c>
    </row>
    <row r="5">
      <c r="A5" s="11" t="inlineStr">
        <is>
          <t>فتحة سقف</t>
        </is>
      </c>
      <c r="B5" s="14" t="inlineStr">
        <is>
          <t>الكل</t>
        </is>
      </c>
    </row>
    <row r="6">
      <c r="A6" s="11" t="inlineStr">
        <is>
          <t>الماركة</t>
        </is>
      </c>
      <c r="B6" s="14" t="inlineStr">
        <is>
          <t>الكل</t>
        </is>
      </c>
    </row>
    <row r="7">
      <c r="A7" s="11" t="inlineStr">
        <is>
          <t>ناقل الحركة</t>
        </is>
      </c>
      <c r="B7" s="14" t="inlineStr">
        <is>
          <t>الكل</t>
        </is>
      </c>
    </row>
    <row r="8">
      <c r="A8" s="11" t="inlineStr">
        <is>
          <t>كلمة بحث (بالموديل/الفئة)</t>
        </is>
      </c>
      <c r="B8" s="14" t="n"/>
      <c r="C8" s="13" t="inlineStr">
        <is>
          <t>مثال: سبورتاج، GLS، امزوم</t>
        </is>
      </c>
    </row>
    <row r="9">
      <c r="A9" s="15">
        <f>"عدد النتائج المطابقة: "&amp;SUMPRODUCT(--(المخزون!$AA$2:$AA$83=TRUE))</f>
        <v/>
      </c>
    </row>
    <row r="10" ht="30" customHeight="1">
      <c r="A10" s="16" t="inlineStr">
        <is>
          <t>الماركة</t>
        </is>
      </c>
      <c r="B10" s="16" t="inlineStr">
        <is>
          <t>الموديل</t>
        </is>
      </c>
      <c r="C10" s="16" t="inlineStr">
        <is>
          <t>الفئة/الدرجة</t>
        </is>
      </c>
      <c r="D10" s="16" t="inlineStr">
        <is>
          <t>سنة الموديل</t>
        </is>
      </c>
      <c r="E10" s="16" t="inlineStr">
        <is>
          <t>ناقل الحركة</t>
        </is>
      </c>
      <c r="F10" s="16" t="inlineStr">
        <is>
          <t>سعة المحرك (لتر)</t>
        </is>
      </c>
      <c r="G10" s="16" t="inlineStr">
        <is>
          <t>نوع المقاعد</t>
        </is>
      </c>
      <c r="H10" s="16" t="inlineStr">
        <is>
          <t>فتحة سقف</t>
        </is>
      </c>
      <c r="I10" s="16" t="inlineStr">
        <is>
          <t>الأنواع (تقريبي)</t>
        </is>
      </c>
      <c r="J10" s="16" t="inlineStr">
        <is>
          <t>شبابي</t>
        </is>
      </c>
      <c r="K10" s="16" t="inlineStr">
        <is>
          <t>عائلي</t>
        </is>
      </c>
      <c r="L10" s="16" t="inlineStr">
        <is>
          <t>رياضي</t>
        </is>
      </c>
      <c r="M10" s="16" t="inlineStr">
        <is>
          <t>اقتصادي</t>
        </is>
      </c>
      <c r="N10" s="16" t="inlineStr">
        <is>
          <t>فاخم</t>
        </is>
      </c>
      <c r="O10" s="16" t="inlineStr">
        <is>
          <t>عملي</t>
        </is>
      </c>
      <c r="P10" s="16" t="inlineStr">
        <is>
          <t>السعر نقدًا (من)</t>
        </is>
      </c>
      <c r="Q10" s="16" t="inlineStr">
        <is>
          <t>السعر نقدًا (الى)</t>
        </is>
      </c>
      <c r="R10" s="16" t="inlineStr">
        <is>
          <t>سعر التمويل (من)</t>
        </is>
      </c>
      <c r="S10" s="16" t="inlineStr">
        <is>
          <t>عدد الوحدات المتوفرة</t>
        </is>
      </c>
      <c r="T10" s="16" t="inlineStr">
        <is>
          <t>الفروع/المواقع</t>
        </is>
      </c>
    </row>
    <row r="11">
      <c r="A11">
        <f>IFERROR(SORT(FILTER(المخزون!$A$2:$T$83,المخزون!$AA$2:$AA$83=TRUE),16,1),"لا توجد نتائج مطابقة للشروط الحالية")</f>
        <v/>
      </c>
    </row>
  </sheetData>
  <mergeCells count="1">
    <mergeCell ref="A9:F9"/>
  </mergeCells>
  <dataValidations count="4">
    <dataValidation sqref="B4" showDropDown="0" showInputMessage="0" showErrorMessage="0" allowBlank="0" type="list">
      <formula1>"الكل,شبابي,عائلي,رياضي,اقتصادي,فاخم,عملي"</formula1>
    </dataValidation>
    <dataValidation sqref="B5" showDropDown="0" showInputMessage="0" showErrorMessage="0" allowBlank="0" type="list">
      <formula1>"الكل,نعم,لا"</formula1>
    </dataValidation>
    <dataValidation sqref="B6" showDropDown="0" showInputMessage="0" showErrorMessage="0" allowBlank="0" type="list">
      <formula1>"الكل,Kia,Kia (NMC),Jetour,GAC,Suzuki,Hyundai,MG,Chevrolet,Haval,Nissan,Ford,Toyota,Honda,Great Wall"</formula1>
    </dataValidation>
    <dataValidation sqref="B7" showDropDown="0" showInputMessage="0" showErrorMessage="0" allowBlank="0" type="list">
      <formula1>"الكل,أوتوماتيك,يدوي"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0" customWidth="1" min="4" max="4"/>
    <col width="11" customWidth="1" min="5" max="5"/>
    <col width="13" customWidth="1" min="6" max="6"/>
    <col width="10" customWidth="1" min="7" max="7"/>
    <col width="10" customWidth="1" min="8" max="8"/>
    <col width="20" customWidth="1" min="9" max="9"/>
    <col width="8" customWidth="1" min="10" max="10"/>
    <col width="8" customWidth="1" min="11" max="11"/>
    <col width="8" customWidth="1" min="12" max="12"/>
    <col width="9" customWidth="1" min="13" max="13"/>
    <col width="8" customWidth="1" min="14" max="14"/>
    <col width="8" customWidth="1" min="15" max="15"/>
    <col width="14" customWidth="1" min="16" max="16"/>
    <col width="14" customWidth="1" min="17" max="17"/>
    <col width="14" customWidth="1" min="18" max="18"/>
    <col width="12" customWidth="1" min="19" max="19"/>
    <col width="26" customWidth="1" min="20" max="20"/>
    <col hidden="1" width="14" customWidth="1" min="21" max="21"/>
    <col hidden="1" width="14" customWidth="1" min="22" max="22"/>
    <col hidden="1" width="14" customWidth="1" min="23" max="23"/>
    <col hidden="1" width="14" customWidth="1" min="24" max="24"/>
    <col hidden="1" width="14" customWidth="1" min="25" max="25"/>
    <col hidden="1" width="14" customWidth="1" min="26" max="26"/>
    <col hidden="1" width="14" customWidth="1" min="27" max="27"/>
  </cols>
  <sheetData>
    <row r="1">
      <c r="A1" s="4" t="inlineStr">
        <is>
          <t>الماركة</t>
        </is>
      </c>
      <c r="B1" s="4" t="inlineStr">
        <is>
          <t>الموديل</t>
        </is>
      </c>
      <c r="C1" s="4" t="inlineStr">
        <is>
          <t>الفئة/الدرجة</t>
        </is>
      </c>
      <c r="D1" s="4" t="inlineStr">
        <is>
          <t>سنة الموديل</t>
        </is>
      </c>
      <c r="E1" s="4" t="inlineStr">
        <is>
          <t>ناقل الحركة</t>
        </is>
      </c>
      <c r="F1" s="4" t="inlineStr">
        <is>
          <t>سعة المحرك (لتر)</t>
        </is>
      </c>
      <c r="G1" s="4" t="inlineStr">
        <is>
          <t>نوع المقاعد</t>
        </is>
      </c>
      <c r="H1" s="4" t="inlineStr">
        <is>
          <t>فتحة سقف</t>
        </is>
      </c>
      <c r="I1" s="4" t="inlineStr">
        <is>
          <t>الأنواع (تقريبي)</t>
        </is>
      </c>
      <c r="J1" s="4" t="inlineStr">
        <is>
          <t>شبابي</t>
        </is>
      </c>
      <c r="K1" s="4" t="inlineStr">
        <is>
          <t>عائلي</t>
        </is>
      </c>
      <c r="L1" s="4" t="inlineStr">
        <is>
          <t>رياضي</t>
        </is>
      </c>
      <c r="M1" s="4" t="inlineStr">
        <is>
          <t>اقتصادي</t>
        </is>
      </c>
      <c r="N1" s="4" t="inlineStr">
        <is>
          <t>فاخم</t>
        </is>
      </c>
      <c r="O1" s="4" t="inlineStr">
        <is>
          <t>عملي</t>
        </is>
      </c>
      <c r="P1" s="4" t="inlineStr">
        <is>
          <t>السعر نقدًا (من)</t>
        </is>
      </c>
      <c r="Q1" s="4" t="inlineStr">
        <is>
          <t>السعر نقدًا (الى)</t>
        </is>
      </c>
      <c r="R1" s="4" t="inlineStr">
        <is>
          <t>سعر التمويل (من)</t>
        </is>
      </c>
      <c r="S1" s="4" t="inlineStr">
        <is>
          <t>عدد الوحدات المتوفرة</t>
        </is>
      </c>
      <c r="T1" s="4" t="inlineStr">
        <is>
          <t>الفروع/المواقع</t>
        </is>
      </c>
      <c r="U1" s="8" t="inlineStr">
        <is>
          <t>مطابقة السعر</t>
        </is>
      </c>
      <c r="V1" s="8" t="inlineStr">
        <is>
          <t>مطابقة الفئة</t>
        </is>
      </c>
      <c r="W1" s="8" t="inlineStr">
        <is>
          <t>مطابقة السقف</t>
        </is>
      </c>
      <c r="X1" s="8" t="inlineStr">
        <is>
          <t>مطابقة الماركة</t>
        </is>
      </c>
      <c r="Y1" s="8" t="inlineStr">
        <is>
          <t>مطابقة الناقل</t>
        </is>
      </c>
      <c r="Z1" s="8" t="inlineStr">
        <is>
          <t>مطابقة نصية</t>
        </is>
      </c>
      <c r="AA1" s="8" t="inlineStr">
        <is>
          <t>مطابقة الكل</t>
        </is>
      </c>
    </row>
    <row r="2">
      <c r="A2" s="5" t="inlineStr">
        <is>
          <t>Kia</t>
        </is>
      </c>
      <c r="B2" s="5" t="inlineStr">
        <is>
          <t>Sportage L 1.5T</t>
        </is>
      </c>
      <c r="C2" s="5" t="inlineStr">
        <is>
          <t>Standard</t>
        </is>
      </c>
      <c r="D2" s="6" t="n">
        <v>2026</v>
      </c>
      <c r="E2" s="6" t="inlineStr">
        <is>
          <t>أوتوماتيك</t>
        </is>
      </c>
      <c r="F2" s="6" t="n">
        <v>1.5</v>
      </c>
      <c r="G2" s="6" t="inlineStr">
        <is>
          <t>قماش</t>
        </is>
      </c>
      <c r="H2" s="6" t="inlineStr">
        <is>
          <t>لا</t>
        </is>
      </c>
      <c r="I2" s="5" t="inlineStr">
        <is>
          <t>—</t>
        </is>
      </c>
      <c r="J2" s="6" t="inlineStr">
        <is>
          <t>لا</t>
        </is>
      </c>
      <c r="K2" s="6" t="inlineStr">
        <is>
          <t>لا</t>
        </is>
      </c>
      <c r="L2" s="6" t="inlineStr">
        <is>
          <t>لا</t>
        </is>
      </c>
      <c r="M2" s="6" t="inlineStr">
        <is>
          <t>لا</t>
        </is>
      </c>
      <c r="N2" s="6" t="inlineStr">
        <is>
          <t>لا</t>
        </is>
      </c>
      <c r="O2" s="6" t="inlineStr">
        <is>
          <t>لا</t>
        </is>
      </c>
      <c r="P2" s="7" t="n">
        <v>91650</v>
      </c>
      <c r="Q2" s="7" t="n">
        <v>91650</v>
      </c>
      <c r="R2" s="7" t="n">
        <v>94650</v>
      </c>
      <c r="S2" s="6" t="n">
        <v>2</v>
      </c>
      <c r="T2" s="5" t="inlineStr">
        <is>
          <t>فرع الرياض</t>
        </is>
      </c>
      <c r="U2" s="9">
        <f>IF('بحث سريع'!$B$3="",TRUE,P2&lt;='بحث سريع'!$B$3)</f>
        <v/>
      </c>
      <c r="V2" s="9">
        <f>IF('بحث سريع'!$B$4="الكل",TRUE,IF('بحث سريع'!$B$4="شبابي",J2="نعم",IF('بحث سريع'!$B$4="عائلي",K2="نعم",IF('بحث سريع'!$B$4="رياضي",L2="نعم",IF('بحث سريع'!$B$4="اقتصادي",M2="نعم",IF('بحث سريع'!$B$4="فاخم",N2="نعم",IF('بحث سريع'!$B$4="عملي",O2="نعم",FALSE)))))))</f>
        <v/>
      </c>
      <c r="W2" s="9">
        <f>IF('بحث سريع'!$B$5="الكل",TRUE,IF('بحث سريع'!$B$5="نعم",H2="نعم",H2="لا"))</f>
        <v/>
      </c>
      <c r="X2" s="9">
        <f>IF('بحث سريع'!$B$6="الكل",TRUE,A2='بحث سريع'!$B$6)</f>
        <v/>
      </c>
      <c r="Y2" s="9">
        <f>IF('بحث سريع'!$B$7="الكل",TRUE,E2='بحث سريع'!$B$7)</f>
        <v/>
      </c>
      <c r="Z2" s="9">
        <f>IF('بحث سريع'!$B$8="",TRUE,ISNUMBER(SEARCH('بحث سريع'!$B$8,A2&amp;" "&amp;B2&amp;" "&amp;C2)))</f>
        <v/>
      </c>
      <c r="AA2" s="9">
        <f>AND(U2:Z2)</f>
        <v/>
      </c>
    </row>
    <row r="3">
      <c r="A3" s="5" t="inlineStr">
        <is>
          <t>Jetour</t>
        </is>
      </c>
      <c r="B3" s="5" t="inlineStr">
        <is>
          <t>G700 - 2.0T</t>
        </is>
      </c>
      <c r="C3" s="5" t="inlineStr">
        <is>
          <t>Flagship</t>
        </is>
      </c>
      <c r="D3" s="6" t="n">
        <v>2026</v>
      </c>
      <c r="E3" s="6" t="inlineStr">
        <is>
          <t>أوتوماتيك</t>
        </is>
      </c>
      <c r="F3" s="6" t="n">
        <v>2</v>
      </c>
      <c r="G3" s="6" t="inlineStr">
        <is>
          <t>جلد</t>
        </is>
      </c>
      <c r="H3" s="6" t="inlineStr">
        <is>
          <t>لا</t>
        </is>
      </c>
      <c r="I3" s="5" t="inlineStr">
        <is>
          <t>—</t>
        </is>
      </c>
      <c r="J3" s="6" t="inlineStr">
        <is>
          <t>لا</t>
        </is>
      </c>
      <c r="K3" s="6" t="inlineStr">
        <is>
          <t>لا</t>
        </is>
      </c>
      <c r="L3" s="6" t="inlineStr">
        <is>
          <t>لا</t>
        </is>
      </c>
      <c r="M3" s="6" t="inlineStr">
        <is>
          <t>لا</t>
        </is>
      </c>
      <c r="N3" s="6" t="inlineStr">
        <is>
          <t>لا</t>
        </is>
      </c>
      <c r="O3" s="6" t="inlineStr">
        <is>
          <t>لا</t>
        </is>
      </c>
      <c r="P3" s="7" t="n">
        <v>224470</v>
      </c>
      <c r="Q3" s="7" t="n">
        <v>224470</v>
      </c>
      <c r="R3" s="7" t="n">
        <v>227470</v>
      </c>
      <c r="S3" s="6" t="n">
        <v>4</v>
      </c>
      <c r="T3" s="5" t="inlineStr">
        <is>
          <t>شركة، فرع الرياض</t>
        </is>
      </c>
      <c r="U3" s="9">
        <f>IF('بحث سريع'!$B$3="",TRUE,P3&lt;='بحث سريع'!$B$3)</f>
        <v/>
      </c>
      <c r="V3" s="9">
        <f>IF('بحث سريع'!$B$4="الكل",TRUE,IF('بحث سريع'!$B$4="شبابي",J3="نعم",IF('بحث سريع'!$B$4="عائلي",K3="نعم",IF('بحث سريع'!$B$4="رياضي",L3="نعم",IF('بحث سريع'!$B$4="اقتصادي",M3="نعم",IF('بحث سريع'!$B$4="فاخم",N3="نعم",IF('بحث سريع'!$B$4="عملي",O3="نعم",FALSE)))))))</f>
        <v/>
      </c>
      <c r="W3" s="9">
        <f>IF('بحث سريع'!$B$5="الكل",TRUE,IF('بحث سريع'!$B$5="نعم",H3="نعم",H3="لا"))</f>
        <v/>
      </c>
      <c r="X3" s="9">
        <f>IF('بحث سريع'!$B$6="الكل",TRUE,A3='بحث سريع'!$B$6)</f>
        <v/>
      </c>
      <c r="Y3" s="9">
        <f>IF('بحث سريع'!$B$7="الكل",TRUE,E3='بحث سريع'!$B$7)</f>
        <v/>
      </c>
      <c r="Z3" s="9">
        <f>IF('بحث سريع'!$B$8="",TRUE,ISNUMBER(SEARCH('بحث سريع'!$B$8,A3&amp;" "&amp;B3&amp;" "&amp;C3)))</f>
        <v/>
      </c>
      <c r="AA3" s="9">
        <f>AND(U3:Z3)</f>
        <v/>
      </c>
    </row>
    <row r="4">
      <c r="A4" s="5" t="inlineStr">
        <is>
          <t>Jetour</t>
        </is>
      </c>
      <c r="B4" s="5" t="inlineStr">
        <is>
          <t>G700 - 2.0T</t>
        </is>
      </c>
      <c r="C4" s="5" t="inlineStr">
        <is>
          <t>Luxury</t>
        </is>
      </c>
      <c r="D4" s="6" t="n">
        <v>2026</v>
      </c>
      <c r="E4" s="6" t="inlineStr">
        <is>
          <t>أوتوماتيك</t>
        </is>
      </c>
      <c r="F4" s="6" t="n">
        <v>2</v>
      </c>
      <c r="G4" s="6" t="inlineStr">
        <is>
          <t>جلد</t>
        </is>
      </c>
      <c r="H4" s="6" t="inlineStr">
        <is>
          <t>لا</t>
        </is>
      </c>
      <c r="I4" s="5" t="inlineStr">
        <is>
          <t>—</t>
        </is>
      </c>
      <c r="J4" s="6" t="inlineStr">
        <is>
          <t>لا</t>
        </is>
      </c>
      <c r="K4" s="6" t="inlineStr">
        <is>
          <t>لا</t>
        </is>
      </c>
      <c r="L4" s="6" t="inlineStr">
        <is>
          <t>لا</t>
        </is>
      </c>
      <c r="M4" s="6" t="inlineStr">
        <is>
          <t>لا</t>
        </is>
      </c>
      <c r="N4" s="6" t="inlineStr">
        <is>
          <t>لا</t>
        </is>
      </c>
      <c r="O4" s="6" t="inlineStr">
        <is>
          <t>لا</t>
        </is>
      </c>
      <c r="P4" s="7" t="n">
        <v>200719</v>
      </c>
      <c r="Q4" s="7" t="n">
        <v>200719</v>
      </c>
      <c r="R4" s="7" t="n">
        <v>203719</v>
      </c>
      <c r="S4" s="6" t="n">
        <v>3</v>
      </c>
      <c r="T4" s="5" t="inlineStr">
        <is>
          <t>شركة، فرع الدمام، فرع الرياض</t>
        </is>
      </c>
      <c r="U4" s="9">
        <f>IF('بحث سريع'!$B$3="",TRUE,P4&lt;='بحث سريع'!$B$3)</f>
        <v/>
      </c>
      <c r="V4" s="9">
        <f>IF('بحث سريع'!$B$4="الكل",TRUE,IF('بحث سريع'!$B$4="شبابي",J4="نعم",IF('بحث سريع'!$B$4="عائلي",K4="نعم",IF('بحث سريع'!$B$4="رياضي",L4="نعم",IF('بحث سريع'!$B$4="اقتصادي",M4="نعم",IF('بحث سريع'!$B$4="فاخم",N4="نعم",IF('بحث سريع'!$B$4="عملي",O4="نعم",FALSE)))))))</f>
        <v/>
      </c>
      <c r="W4" s="9">
        <f>IF('بحث سريع'!$B$5="الكل",TRUE,IF('بحث سريع'!$B$5="نعم",H4="نعم",H4="لا"))</f>
        <v/>
      </c>
      <c r="X4" s="9">
        <f>IF('بحث سريع'!$B$6="الكل",TRUE,A4='بحث سريع'!$B$6)</f>
        <v/>
      </c>
      <c r="Y4" s="9">
        <f>IF('بحث سريع'!$B$7="الكل",TRUE,E4='بحث سريع'!$B$7)</f>
        <v/>
      </c>
      <c r="Z4" s="9">
        <f>IF('بحث سريع'!$B$8="",TRUE,ISNUMBER(SEARCH('بحث سريع'!$B$8,A4&amp;" "&amp;B4&amp;" "&amp;C4)))</f>
        <v/>
      </c>
      <c r="AA4" s="9">
        <f>AND(U4:Z4)</f>
        <v/>
      </c>
    </row>
    <row r="5">
      <c r="A5" s="5" t="inlineStr">
        <is>
          <t>Suzuki</t>
        </is>
      </c>
      <c r="B5" s="5" t="inlineStr">
        <is>
          <t>FRONX</t>
        </is>
      </c>
      <c r="C5" s="5" t="inlineStr">
        <is>
          <t>Gl</t>
        </is>
      </c>
      <c r="D5" s="6" t="n">
        <v>2026</v>
      </c>
      <c r="E5" s="6" t="inlineStr">
        <is>
          <t>أوتوماتيك</t>
        </is>
      </c>
      <c r="F5" s="6" t="n">
        <v>1.5</v>
      </c>
      <c r="G5" s="6" t="inlineStr">
        <is>
          <t>قماش</t>
        </is>
      </c>
      <c r="H5" s="6" t="inlineStr">
        <is>
          <t>لا</t>
        </is>
      </c>
      <c r="I5" s="5" t="inlineStr">
        <is>
          <t>—</t>
        </is>
      </c>
      <c r="J5" s="6" t="inlineStr">
        <is>
          <t>لا</t>
        </is>
      </c>
      <c r="K5" s="6" t="inlineStr">
        <is>
          <t>لا</t>
        </is>
      </c>
      <c r="L5" s="6" t="inlineStr">
        <is>
          <t>لا</t>
        </is>
      </c>
      <c r="M5" s="6" t="inlineStr">
        <is>
          <t>لا</t>
        </is>
      </c>
      <c r="N5" s="6" t="inlineStr">
        <is>
          <t>لا</t>
        </is>
      </c>
      <c r="O5" s="6" t="inlineStr">
        <is>
          <t>لا</t>
        </is>
      </c>
      <c r="P5" s="7" t="n">
        <v>66350</v>
      </c>
      <c r="Q5" s="7" t="n">
        <v>66350</v>
      </c>
      <c r="R5" s="7" t="n">
        <v>69350</v>
      </c>
      <c r="S5" s="6" t="n">
        <v>7</v>
      </c>
      <c r="T5" s="5" t="inlineStr">
        <is>
          <t>شركة، فرع الدمام، فرع جدة</t>
        </is>
      </c>
      <c r="U5" s="9">
        <f>IF('بحث سريع'!$B$3="",TRUE,P5&lt;='بحث سريع'!$B$3)</f>
        <v/>
      </c>
      <c r="V5" s="9">
        <f>IF('بحث سريع'!$B$4="الكل",TRUE,IF('بحث سريع'!$B$4="شبابي",J5="نعم",IF('بحث سريع'!$B$4="عائلي",K5="نعم",IF('بحث سريع'!$B$4="رياضي",L5="نعم",IF('بحث سريع'!$B$4="اقتصادي",M5="نعم",IF('بحث سريع'!$B$4="فاخم",N5="نعم",IF('بحث سريع'!$B$4="عملي",O5="نعم",FALSE)))))))</f>
        <v/>
      </c>
      <c r="W5" s="9">
        <f>IF('بحث سريع'!$B$5="الكل",TRUE,IF('بحث سريع'!$B$5="نعم",H5="نعم",H5="لا"))</f>
        <v/>
      </c>
      <c r="X5" s="9">
        <f>IF('بحث سريع'!$B$6="الكل",TRUE,A5='بحث سريع'!$B$6)</f>
        <v/>
      </c>
      <c r="Y5" s="9">
        <f>IF('بحث سريع'!$B$7="الكل",TRUE,E5='بحث سريع'!$B$7)</f>
        <v/>
      </c>
      <c r="Z5" s="9">
        <f>IF('بحث سريع'!$B$8="",TRUE,ISNUMBER(SEARCH('بحث سريع'!$B$8,A5&amp;" "&amp;B5&amp;" "&amp;C5)))</f>
        <v/>
      </c>
      <c r="AA5" s="9">
        <f>AND(U5:Z5)</f>
        <v/>
      </c>
    </row>
    <row r="6">
      <c r="A6" s="5" t="inlineStr">
        <is>
          <t>GAC</t>
        </is>
      </c>
      <c r="B6" s="5" t="inlineStr">
        <is>
          <t>GS4</t>
        </is>
      </c>
      <c r="C6" s="5" t="inlineStr">
        <is>
          <t>Max Gl</t>
        </is>
      </c>
      <c r="D6" s="6" t="n">
        <v>2026</v>
      </c>
      <c r="E6" s="6" t="inlineStr">
        <is>
          <t>أوتوماتيك</t>
        </is>
      </c>
      <c r="F6" s="6" t="n">
        <v>2</v>
      </c>
      <c r="G6" s="6" t="inlineStr">
        <is>
          <t>جلد</t>
        </is>
      </c>
      <c r="H6" s="6" t="inlineStr">
        <is>
          <t>لا</t>
        </is>
      </c>
      <c r="I6" s="5" t="inlineStr">
        <is>
          <t>—</t>
        </is>
      </c>
      <c r="J6" s="6" t="inlineStr">
        <is>
          <t>لا</t>
        </is>
      </c>
      <c r="K6" s="6" t="inlineStr">
        <is>
          <t>لا</t>
        </is>
      </c>
      <c r="L6" s="6" t="inlineStr">
        <is>
          <t>لا</t>
        </is>
      </c>
      <c r="M6" s="6" t="inlineStr">
        <is>
          <t>لا</t>
        </is>
      </c>
      <c r="N6" s="6" t="inlineStr">
        <is>
          <t>لا</t>
        </is>
      </c>
      <c r="O6" s="6" t="inlineStr">
        <is>
          <t>لا</t>
        </is>
      </c>
      <c r="P6" s="7" t="n">
        <v>75757</v>
      </c>
      <c r="Q6" s="7" t="n">
        <v>75757</v>
      </c>
      <c r="R6" s="7" t="n">
        <v>78757</v>
      </c>
      <c r="S6" s="6" t="n">
        <v>3</v>
      </c>
      <c r="T6" s="5" t="inlineStr">
        <is>
          <t>فرع الدمام، فرع الرياض</t>
        </is>
      </c>
      <c r="U6" s="9">
        <f>IF('بحث سريع'!$B$3="",TRUE,P6&lt;='بحث سريع'!$B$3)</f>
        <v/>
      </c>
      <c r="V6" s="9">
        <f>IF('بحث سريع'!$B$4="الكل",TRUE,IF('بحث سريع'!$B$4="شبابي",J6="نعم",IF('بحث سريع'!$B$4="عائلي",K6="نعم",IF('بحث سريع'!$B$4="رياضي",L6="نعم",IF('بحث سريع'!$B$4="اقتصادي",M6="نعم",IF('بحث سريع'!$B$4="فاخم",N6="نعم",IF('بحث سريع'!$B$4="عملي",O6="نعم",FALSE)))))))</f>
        <v/>
      </c>
      <c r="W6" s="9">
        <f>IF('بحث سريع'!$B$5="الكل",TRUE,IF('بحث سريع'!$B$5="نعم",H6="نعم",H6="لا"))</f>
        <v/>
      </c>
      <c r="X6" s="9">
        <f>IF('بحث سريع'!$B$6="الكل",TRUE,A6='بحث سريع'!$B$6)</f>
        <v/>
      </c>
      <c r="Y6" s="9">
        <f>IF('بحث سريع'!$B$7="الكل",TRUE,E6='بحث سريع'!$B$7)</f>
        <v/>
      </c>
      <c r="Z6" s="9">
        <f>IF('بحث سريع'!$B$8="",TRUE,ISNUMBER(SEARCH('بحث سريع'!$B$8,A6&amp;" "&amp;B6&amp;" "&amp;C6)))</f>
        <v/>
      </c>
      <c r="AA6" s="9">
        <f>AND(U6:Z6)</f>
        <v/>
      </c>
    </row>
    <row r="7">
      <c r="A7" s="5" t="inlineStr">
        <is>
          <t>Suzuki</t>
        </is>
      </c>
      <c r="B7" s="5" t="inlineStr">
        <is>
          <t>FRONX</t>
        </is>
      </c>
      <c r="C7" s="5" t="inlineStr">
        <is>
          <t>Glx</t>
        </is>
      </c>
      <c r="D7" s="6" t="n">
        <v>2026</v>
      </c>
      <c r="E7" s="6" t="inlineStr">
        <is>
          <t>أوتوماتيك</t>
        </is>
      </c>
      <c r="F7" s="6" t="n">
        <v>1.5</v>
      </c>
      <c r="G7" s="6" t="inlineStr">
        <is>
          <t>قماش</t>
        </is>
      </c>
      <c r="H7" s="6" t="inlineStr">
        <is>
          <t>لا</t>
        </is>
      </c>
      <c r="I7" s="5" t="inlineStr">
        <is>
          <t>—</t>
        </is>
      </c>
      <c r="J7" s="6" t="inlineStr">
        <is>
          <t>لا</t>
        </is>
      </c>
      <c r="K7" s="6" t="inlineStr">
        <is>
          <t>لا</t>
        </is>
      </c>
      <c r="L7" s="6" t="inlineStr">
        <is>
          <t>لا</t>
        </is>
      </c>
      <c r="M7" s="6" t="inlineStr">
        <is>
          <t>لا</t>
        </is>
      </c>
      <c r="N7" s="6" t="inlineStr">
        <is>
          <t>لا</t>
        </is>
      </c>
      <c r="O7" s="6" t="inlineStr">
        <is>
          <t>لا</t>
        </is>
      </c>
      <c r="P7" s="7" t="n">
        <v>72100</v>
      </c>
      <c r="Q7" s="7" t="n">
        <v>72100</v>
      </c>
      <c r="R7" s="7" t="n">
        <v>75100</v>
      </c>
      <c r="S7" s="6" t="n">
        <v>10</v>
      </c>
      <c r="T7" s="5" t="inlineStr">
        <is>
          <t>شركة، فرع الدمام، فرع الرياض، فرع جدة</t>
        </is>
      </c>
      <c r="U7" s="9">
        <f>IF('بحث سريع'!$B$3="",TRUE,P7&lt;='بحث سريع'!$B$3)</f>
        <v/>
      </c>
      <c r="V7" s="9">
        <f>IF('بحث سريع'!$B$4="الكل",TRUE,IF('بحث سريع'!$B$4="شبابي",J7="نعم",IF('بحث سريع'!$B$4="عائلي",K7="نعم",IF('بحث سريع'!$B$4="رياضي",L7="نعم",IF('بحث سريع'!$B$4="اقتصادي",M7="نعم",IF('بحث سريع'!$B$4="فاخم",N7="نعم",IF('بحث سريع'!$B$4="عملي",O7="نعم",FALSE)))))))</f>
        <v/>
      </c>
      <c r="W7" s="9">
        <f>IF('بحث سريع'!$B$5="الكل",TRUE,IF('بحث سريع'!$B$5="نعم",H7="نعم",H7="لا"))</f>
        <v/>
      </c>
      <c r="X7" s="9">
        <f>IF('بحث سريع'!$B$6="الكل",TRUE,A7='بحث سريع'!$B$6)</f>
        <v/>
      </c>
      <c r="Y7" s="9">
        <f>IF('بحث سريع'!$B$7="الكل",TRUE,E7='بحث سريع'!$B$7)</f>
        <v/>
      </c>
      <c r="Z7" s="9">
        <f>IF('بحث سريع'!$B$8="",TRUE,ISNUMBER(SEARCH('بحث سريع'!$B$8,A7&amp;" "&amp;B7&amp;" "&amp;C7)))</f>
        <v/>
      </c>
      <c r="AA7" s="9">
        <f>AND(U7:Z7)</f>
        <v/>
      </c>
    </row>
    <row r="8">
      <c r="A8" s="5" t="inlineStr">
        <is>
          <t>Jetour</t>
        </is>
      </c>
      <c r="B8" s="5" t="inlineStr">
        <is>
          <t>G700 - 2.0T</t>
        </is>
      </c>
      <c r="C8" s="5" t="inlineStr">
        <is>
          <t>Comfort</t>
        </is>
      </c>
      <c r="D8" s="6" t="n">
        <v>2026</v>
      </c>
      <c r="E8" s="6" t="inlineStr">
        <is>
          <t>أوتوماتيك</t>
        </is>
      </c>
      <c r="F8" s="6" t="n">
        <v>2</v>
      </c>
      <c r="G8" s="6" t="inlineStr">
        <is>
          <t>جلد</t>
        </is>
      </c>
      <c r="H8" s="6" t="inlineStr">
        <is>
          <t>لا</t>
        </is>
      </c>
      <c r="I8" s="5" t="inlineStr">
        <is>
          <t>—</t>
        </is>
      </c>
      <c r="J8" s="6" t="inlineStr">
        <is>
          <t>لا</t>
        </is>
      </c>
      <c r="K8" s="6" t="inlineStr">
        <is>
          <t>لا</t>
        </is>
      </c>
      <c r="L8" s="6" t="inlineStr">
        <is>
          <t>لا</t>
        </is>
      </c>
      <c r="M8" s="6" t="inlineStr">
        <is>
          <t>لا</t>
        </is>
      </c>
      <c r="N8" s="6" t="inlineStr">
        <is>
          <t>لا</t>
        </is>
      </c>
      <c r="O8" s="6" t="inlineStr">
        <is>
          <t>لا</t>
        </is>
      </c>
      <c r="P8" s="7" t="n">
        <v>176970</v>
      </c>
      <c r="Q8" s="7" t="n">
        <v>176970</v>
      </c>
      <c r="R8" s="7" t="n">
        <v>179970</v>
      </c>
      <c r="S8" s="6" t="n">
        <v>2</v>
      </c>
      <c r="T8" s="5" t="inlineStr">
        <is>
          <t>فرع الرياض، فرع جدة</t>
        </is>
      </c>
      <c r="U8" s="9">
        <f>IF('بحث سريع'!$B$3="",TRUE,P8&lt;='بحث سريع'!$B$3)</f>
        <v/>
      </c>
      <c r="V8" s="9">
        <f>IF('بحث سريع'!$B$4="الكل",TRUE,IF('بحث سريع'!$B$4="شبابي",J8="نعم",IF('بحث سريع'!$B$4="عائلي",K8="نعم",IF('بحث سريع'!$B$4="رياضي",L8="نعم",IF('بحث سريع'!$B$4="اقتصادي",M8="نعم",IF('بحث سريع'!$B$4="فاخم",N8="نعم",IF('بحث سريع'!$B$4="عملي",O8="نعم",FALSE)))))))</f>
        <v/>
      </c>
      <c r="W8" s="9">
        <f>IF('بحث سريع'!$B$5="الكل",TRUE,IF('بحث سريع'!$B$5="نعم",H8="نعم",H8="لا"))</f>
        <v/>
      </c>
      <c r="X8" s="9">
        <f>IF('بحث سريع'!$B$6="الكل",TRUE,A8='بحث سريع'!$B$6)</f>
        <v/>
      </c>
      <c r="Y8" s="9">
        <f>IF('بحث سريع'!$B$7="الكل",TRUE,E8='بحث سريع'!$B$7)</f>
        <v/>
      </c>
      <c r="Z8" s="9">
        <f>IF('بحث سريع'!$B$8="",TRUE,ISNUMBER(SEARCH('بحث سريع'!$B$8,A8&amp;" "&amp;B8&amp;" "&amp;C8)))</f>
        <v/>
      </c>
      <c r="AA8" s="9">
        <f>AND(U8:Z8)</f>
        <v/>
      </c>
    </row>
    <row r="9">
      <c r="A9" s="5" t="inlineStr">
        <is>
          <t>Kia (NMC)</t>
        </is>
      </c>
      <c r="B9" s="5" t="inlineStr">
        <is>
          <t>CARENS 1.5L</t>
        </is>
      </c>
      <c r="C9" s="5" t="inlineStr">
        <is>
          <t>Gls</t>
        </is>
      </c>
      <c r="D9" s="6" t="n">
        <v>2026</v>
      </c>
      <c r="E9" s="6" t="inlineStr">
        <is>
          <t>أوتوماتيك</t>
        </is>
      </c>
      <c r="F9" s="6" t="n">
        <v>1.5</v>
      </c>
      <c r="G9" s="6" t="inlineStr">
        <is>
          <t>قماش</t>
        </is>
      </c>
      <c r="H9" s="6" t="inlineStr">
        <is>
          <t>لا</t>
        </is>
      </c>
      <c r="I9" s="5" t="inlineStr">
        <is>
          <t>—</t>
        </is>
      </c>
      <c r="J9" s="6" t="inlineStr">
        <is>
          <t>لا</t>
        </is>
      </c>
      <c r="K9" s="6" t="inlineStr">
        <is>
          <t>لا</t>
        </is>
      </c>
      <c r="L9" s="6" t="inlineStr">
        <is>
          <t>لا</t>
        </is>
      </c>
      <c r="M9" s="6" t="inlineStr">
        <is>
          <t>لا</t>
        </is>
      </c>
      <c r="N9" s="6" t="inlineStr">
        <is>
          <t>لا</t>
        </is>
      </c>
      <c r="O9" s="6" t="inlineStr">
        <is>
          <t>لا</t>
        </is>
      </c>
      <c r="P9" s="7" t="n">
        <v>92225</v>
      </c>
      <c r="Q9" s="7" t="n">
        <v>92225</v>
      </c>
      <c r="R9" s="7" t="n">
        <v>95225</v>
      </c>
      <c r="S9" s="6" t="n">
        <v>2</v>
      </c>
      <c r="T9" s="5" t="inlineStr">
        <is>
          <t>فرع الدمام، فرع جدة</t>
        </is>
      </c>
      <c r="U9" s="9">
        <f>IF('بحث سريع'!$B$3="",TRUE,P9&lt;='بحث سريع'!$B$3)</f>
        <v/>
      </c>
      <c r="V9" s="9">
        <f>IF('بحث سريع'!$B$4="الكل",TRUE,IF('بحث سريع'!$B$4="شبابي",J9="نعم",IF('بحث سريع'!$B$4="عائلي",K9="نعم",IF('بحث سريع'!$B$4="رياضي",L9="نعم",IF('بحث سريع'!$B$4="اقتصادي",M9="نعم",IF('بحث سريع'!$B$4="فاخم",N9="نعم",IF('بحث سريع'!$B$4="عملي",O9="نعم",FALSE)))))))</f>
        <v/>
      </c>
      <c r="W9" s="9">
        <f>IF('بحث سريع'!$B$5="الكل",TRUE,IF('بحث سريع'!$B$5="نعم",H9="نعم",H9="لا"))</f>
        <v/>
      </c>
      <c r="X9" s="9">
        <f>IF('بحث سريع'!$B$6="الكل",TRUE,A9='بحث سريع'!$B$6)</f>
        <v/>
      </c>
      <c r="Y9" s="9">
        <f>IF('بحث سريع'!$B$7="الكل",TRUE,E9='بحث سريع'!$B$7)</f>
        <v/>
      </c>
      <c r="Z9" s="9">
        <f>IF('بحث سريع'!$B$8="",TRUE,ISNUMBER(SEARCH('بحث سريع'!$B$8,A9&amp;" "&amp;B9&amp;" "&amp;C9)))</f>
        <v/>
      </c>
      <c r="AA9" s="9">
        <f>AND(U9:Z9)</f>
        <v/>
      </c>
    </row>
    <row r="10">
      <c r="A10" s="5" t="inlineStr">
        <is>
          <t>MG</t>
        </is>
      </c>
      <c r="B10" s="5" t="inlineStr">
        <is>
          <t>MG5 1.5L</t>
        </is>
      </c>
      <c r="C10" s="5" t="inlineStr">
        <is>
          <t>Standard Old</t>
        </is>
      </c>
      <c r="D10" s="6" t="n">
        <v>2025</v>
      </c>
      <c r="E10" s="6" t="inlineStr">
        <is>
          <t>أوتوماتيك</t>
        </is>
      </c>
      <c r="F10" s="6" t="n">
        <v>1.5</v>
      </c>
      <c r="G10" s="6" t="inlineStr">
        <is>
          <t>قماش</t>
        </is>
      </c>
      <c r="H10" s="6" t="inlineStr">
        <is>
          <t>لا</t>
        </is>
      </c>
      <c r="I10" s="5" t="inlineStr">
        <is>
          <t>اقتصادي</t>
        </is>
      </c>
      <c r="J10" s="6" t="inlineStr">
        <is>
          <t>لا</t>
        </is>
      </c>
      <c r="K10" s="6" t="inlineStr">
        <is>
          <t>لا</t>
        </is>
      </c>
      <c r="L10" s="6" t="inlineStr">
        <is>
          <t>لا</t>
        </is>
      </c>
      <c r="M10" s="6" t="inlineStr">
        <is>
          <t>نعم</t>
        </is>
      </c>
      <c r="N10" s="6" t="inlineStr">
        <is>
          <t>لا</t>
        </is>
      </c>
      <c r="O10" s="6" t="inlineStr">
        <is>
          <t>لا</t>
        </is>
      </c>
      <c r="P10" s="7" t="n">
        <v>42855</v>
      </c>
      <c r="Q10" s="7" t="n">
        <v>42855</v>
      </c>
      <c r="R10" s="7" t="n">
        <v>45855</v>
      </c>
      <c r="S10" s="6" t="n">
        <v>4</v>
      </c>
      <c r="T10" s="5" t="inlineStr">
        <is>
          <t>الى فرع الرياض، فرع جدة</t>
        </is>
      </c>
      <c r="U10" s="9">
        <f>IF('بحث سريع'!$B$3="",TRUE,P10&lt;='بحث سريع'!$B$3)</f>
        <v/>
      </c>
      <c r="V10" s="9">
        <f>IF('بحث سريع'!$B$4="الكل",TRUE,IF('بحث سريع'!$B$4="شبابي",J10="نعم",IF('بحث سريع'!$B$4="عائلي",K10="نعم",IF('بحث سريع'!$B$4="رياضي",L10="نعم",IF('بحث سريع'!$B$4="اقتصادي",M10="نعم",IF('بحث سريع'!$B$4="فاخم",N10="نعم",IF('بحث سريع'!$B$4="عملي",O10="نعم",FALSE)))))))</f>
        <v/>
      </c>
      <c r="W10" s="9">
        <f>IF('بحث سريع'!$B$5="الكل",TRUE,IF('بحث سريع'!$B$5="نعم",H10="نعم",H10="لا"))</f>
        <v/>
      </c>
      <c r="X10" s="9">
        <f>IF('بحث سريع'!$B$6="الكل",TRUE,A10='بحث سريع'!$B$6)</f>
        <v/>
      </c>
      <c r="Y10" s="9">
        <f>IF('بحث سريع'!$B$7="الكل",TRUE,E10='بحث سريع'!$B$7)</f>
        <v/>
      </c>
      <c r="Z10" s="9">
        <f>IF('بحث سريع'!$B$8="",TRUE,ISNUMBER(SEARCH('بحث سريع'!$B$8,A10&amp;" "&amp;B10&amp;" "&amp;C10)))</f>
        <v/>
      </c>
      <c r="AA10" s="9">
        <f>AND(U10:Z10)</f>
        <v/>
      </c>
    </row>
    <row r="11">
      <c r="A11" s="5" t="inlineStr">
        <is>
          <t>Hyundai</t>
        </is>
      </c>
      <c r="B11" s="5" t="inlineStr">
        <is>
          <t>Elantra 2.0L</t>
        </is>
      </c>
      <c r="C11" s="5" t="inlineStr">
        <is>
          <t>Gls Comfort</t>
        </is>
      </c>
      <c r="D11" s="6" t="n">
        <v>2026</v>
      </c>
      <c r="E11" s="6" t="inlineStr">
        <is>
          <t>أوتوماتيك</t>
        </is>
      </c>
      <c r="F11" s="6" t="n">
        <v>2</v>
      </c>
      <c r="G11" s="6" t="inlineStr">
        <is>
          <t>قماش</t>
        </is>
      </c>
      <c r="H11" s="6" t="inlineStr">
        <is>
          <t>لا</t>
        </is>
      </c>
      <c r="I11" s="5" t="inlineStr">
        <is>
          <t>—</t>
        </is>
      </c>
      <c r="J11" s="6" t="inlineStr">
        <is>
          <t>لا</t>
        </is>
      </c>
      <c r="K11" s="6" t="inlineStr">
        <is>
          <t>لا</t>
        </is>
      </c>
      <c r="L11" s="6" t="inlineStr">
        <is>
          <t>لا</t>
        </is>
      </c>
      <c r="M11" s="6" t="inlineStr">
        <is>
          <t>لا</t>
        </is>
      </c>
      <c r="N11" s="6" t="inlineStr">
        <is>
          <t>لا</t>
        </is>
      </c>
      <c r="O11" s="6" t="inlineStr">
        <is>
          <t>لا</t>
        </is>
      </c>
      <c r="P11" s="7" t="n">
        <v>91075</v>
      </c>
      <c r="Q11" s="7" t="n">
        <v>91075</v>
      </c>
      <c r="R11" s="7" t="n">
        <v>94075</v>
      </c>
      <c r="S11" s="6" t="n">
        <v>5</v>
      </c>
      <c r="T11" s="5" t="inlineStr">
        <is>
          <t>فرع الدمام، فرع الرياض</t>
        </is>
      </c>
      <c r="U11" s="9">
        <f>IF('بحث سريع'!$B$3="",TRUE,P11&lt;='بحث سريع'!$B$3)</f>
        <v/>
      </c>
      <c r="V11" s="9">
        <f>IF('بحث سريع'!$B$4="الكل",TRUE,IF('بحث سريع'!$B$4="شبابي",J11="نعم",IF('بحث سريع'!$B$4="عائلي",K11="نعم",IF('بحث سريع'!$B$4="رياضي",L11="نعم",IF('بحث سريع'!$B$4="اقتصادي",M11="نعم",IF('بحث سريع'!$B$4="فاخم",N11="نعم",IF('بحث سريع'!$B$4="عملي",O11="نعم",FALSE)))))))</f>
        <v/>
      </c>
      <c r="W11" s="9">
        <f>IF('بحث سريع'!$B$5="الكل",TRUE,IF('بحث سريع'!$B$5="نعم",H11="نعم",H11="لا"))</f>
        <v/>
      </c>
      <c r="X11" s="9">
        <f>IF('بحث سريع'!$B$6="الكل",TRUE,A11='بحث سريع'!$B$6)</f>
        <v/>
      </c>
      <c r="Y11" s="9">
        <f>IF('بحث سريع'!$B$7="الكل",TRUE,E11='بحث سريع'!$B$7)</f>
        <v/>
      </c>
      <c r="Z11" s="9">
        <f>IF('بحث سريع'!$B$8="",TRUE,ISNUMBER(SEARCH('بحث سريع'!$B$8,A11&amp;" "&amp;B11&amp;" "&amp;C11)))</f>
        <v/>
      </c>
      <c r="AA11" s="9">
        <f>AND(U11:Z11)</f>
        <v/>
      </c>
    </row>
    <row r="12">
      <c r="A12" s="5" t="inlineStr">
        <is>
          <t>Jetour</t>
        </is>
      </c>
      <c r="B12" s="5" t="inlineStr">
        <is>
          <t>X70 Plus 1.6T</t>
        </is>
      </c>
      <c r="C12" s="5" t="inlineStr">
        <is>
          <t>Luxury</t>
        </is>
      </c>
      <c r="D12" s="6" t="n">
        <v>2026</v>
      </c>
      <c r="E12" s="6" t="inlineStr">
        <is>
          <t>أوتوماتيك</t>
        </is>
      </c>
      <c r="F12" s="6" t="n">
        <v>1.6</v>
      </c>
      <c r="G12" s="6" t="inlineStr">
        <is>
          <t>جلد</t>
        </is>
      </c>
      <c r="H12" s="6" t="inlineStr">
        <is>
          <t>نعم</t>
        </is>
      </c>
      <c r="I12" s="5" t="inlineStr">
        <is>
          <t>اقتصادي، فاخم</t>
        </is>
      </c>
      <c r="J12" s="6" t="inlineStr">
        <is>
          <t>لا</t>
        </is>
      </c>
      <c r="K12" s="6" t="inlineStr">
        <is>
          <t>لا</t>
        </is>
      </c>
      <c r="L12" s="6" t="inlineStr">
        <is>
          <t>لا</t>
        </is>
      </c>
      <c r="M12" s="6" t="inlineStr">
        <is>
          <t>نعم</t>
        </is>
      </c>
      <c r="N12" s="6" t="inlineStr">
        <is>
          <t>نعم</t>
        </is>
      </c>
      <c r="O12" s="6" t="inlineStr">
        <is>
          <t>لا</t>
        </is>
      </c>
      <c r="P12" s="7" t="n">
        <v>89350</v>
      </c>
      <c r="Q12" s="7" t="n">
        <v>89350</v>
      </c>
      <c r="R12" s="7" t="n">
        <v>92350</v>
      </c>
      <c r="S12" s="6" t="n">
        <v>42</v>
      </c>
      <c r="T12" s="5" t="inlineStr">
        <is>
          <t>ار موتورز، الاسطول، سيارتك الرقمية، فرع الدمام، فرع الرياض، فرع جدة، مستودع الدمام، معرض المحركات الجديد، معرض الموتر العريق، معرض خالد</t>
        </is>
      </c>
      <c r="U12" s="9">
        <f>IF('بحث سريع'!$B$3="",TRUE,P12&lt;='بحث سريع'!$B$3)</f>
        <v/>
      </c>
      <c r="V12" s="9">
        <f>IF('بحث سريع'!$B$4="الكل",TRUE,IF('بحث سريع'!$B$4="شبابي",J12="نعم",IF('بحث سريع'!$B$4="عائلي",K12="نعم",IF('بحث سريع'!$B$4="رياضي",L12="نعم",IF('بحث سريع'!$B$4="اقتصادي",M12="نعم",IF('بحث سريع'!$B$4="فاخم",N12="نعم",IF('بحث سريع'!$B$4="عملي",O12="نعم",FALSE)))))))</f>
        <v/>
      </c>
      <c r="W12" s="9">
        <f>IF('بحث سريع'!$B$5="الكل",TRUE,IF('بحث سريع'!$B$5="نعم",H12="نعم",H12="لا"))</f>
        <v/>
      </c>
      <c r="X12" s="9">
        <f>IF('بحث سريع'!$B$6="الكل",TRUE,A12='بحث سريع'!$B$6)</f>
        <v/>
      </c>
      <c r="Y12" s="9">
        <f>IF('بحث سريع'!$B$7="الكل",TRUE,E12='بحث سريع'!$B$7)</f>
        <v/>
      </c>
      <c r="Z12" s="9">
        <f>IF('بحث سريع'!$B$8="",TRUE,ISNUMBER(SEARCH('بحث سريع'!$B$8,A12&amp;" "&amp;B12&amp;" "&amp;C12)))</f>
        <v/>
      </c>
      <c r="AA12" s="9">
        <f>AND(U12:Z12)</f>
        <v/>
      </c>
    </row>
    <row r="13">
      <c r="A13" s="5" t="inlineStr">
        <is>
          <t>Chevrolet</t>
        </is>
      </c>
      <c r="B13" s="5" t="inlineStr">
        <is>
          <t>GROOVE 1.5L</t>
        </is>
      </c>
      <c r="C13" s="5" t="inlineStr">
        <is>
          <t>New Lt</t>
        </is>
      </c>
      <c r="D13" s="6" t="n">
        <v>2026</v>
      </c>
      <c r="E13" s="6" t="inlineStr">
        <is>
          <t>أوتوماتيك</t>
        </is>
      </c>
      <c r="F13" s="6" t="n">
        <v>1.5</v>
      </c>
      <c r="G13" s="6" t="inlineStr">
        <is>
          <t>قماش</t>
        </is>
      </c>
      <c r="H13" s="6" t="inlineStr">
        <is>
          <t>لا</t>
        </is>
      </c>
      <c r="I13" s="5" t="inlineStr">
        <is>
          <t>عملي</t>
        </is>
      </c>
      <c r="J13" s="6" t="inlineStr">
        <is>
          <t>لا</t>
        </is>
      </c>
      <c r="K13" s="6" t="inlineStr">
        <is>
          <t>لا</t>
        </is>
      </c>
      <c r="L13" s="6" t="inlineStr">
        <is>
          <t>لا</t>
        </is>
      </c>
      <c r="M13" s="6" t="inlineStr">
        <is>
          <t>لا</t>
        </is>
      </c>
      <c r="N13" s="6" t="inlineStr">
        <is>
          <t>لا</t>
        </is>
      </c>
      <c r="O13" s="6" t="inlineStr">
        <is>
          <t>نعم</t>
        </is>
      </c>
      <c r="P13" s="7" t="n">
        <v>60600</v>
      </c>
      <c r="Q13" s="7" t="n">
        <v>60600</v>
      </c>
      <c r="R13" s="7" t="n">
        <v>63600</v>
      </c>
      <c r="S13" s="6" t="n">
        <v>3</v>
      </c>
      <c r="T13" s="5" t="inlineStr">
        <is>
          <t>الاسطول، فرع الدمام، معرض المحركات الجديد</t>
        </is>
      </c>
      <c r="U13" s="9">
        <f>IF('بحث سريع'!$B$3="",TRUE,P13&lt;='بحث سريع'!$B$3)</f>
        <v/>
      </c>
      <c r="V13" s="9">
        <f>IF('بحث سريع'!$B$4="الكل",TRUE,IF('بحث سريع'!$B$4="شبابي",J13="نعم",IF('بحث سريع'!$B$4="عائلي",K13="نعم",IF('بحث سريع'!$B$4="رياضي",L13="نعم",IF('بحث سريع'!$B$4="اقتصادي",M13="نعم",IF('بحث سريع'!$B$4="فاخم",N13="نعم",IF('بحث سريع'!$B$4="عملي",O13="نعم",FALSE)))))))</f>
        <v/>
      </c>
      <c r="W13" s="9">
        <f>IF('بحث سريع'!$B$5="الكل",TRUE,IF('بحث سريع'!$B$5="نعم",H13="نعم",H13="لا"))</f>
        <v/>
      </c>
      <c r="X13" s="9">
        <f>IF('بحث سريع'!$B$6="الكل",TRUE,A13='بحث سريع'!$B$6)</f>
        <v/>
      </c>
      <c r="Y13" s="9">
        <f>IF('بحث سريع'!$B$7="الكل",TRUE,E13='بحث سريع'!$B$7)</f>
        <v/>
      </c>
      <c r="Z13" s="9">
        <f>IF('بحث سريع'!$B$8="",TRUE,ISNUMBER(SEARCH('بحث سريع'!$B$8,A13&amp;" "&amp;B13&amp;" "&amp;C13)))</f>
        <v/>
      </c>
      <c r="AA13" s="9">
        <f>AND(U13:Z13)</f>
        <v/>
      </c>
    </row>
    <row r="14">
      <c r="A14" s="5" t="inlineStr">
        <is>
          <t>Haval</t>
        </is>
      </c>
      <c r="B14" s="5" t="inlineStr">
        <is>
          <t>V7</t>
        </is>
      </c>
      <c r="C14" s="5" t="inlineStr">
        <is>
          <t>Premium</t>
        </is>
      </c>
      <c r="D14" s="6" t="n">
        <v>2027</v>
      </c>
      <c r="E14" s="6" t="inlineStr">
        <is>
          <t>أوتوماتيك</t>
        </is>
      </c>
      <c r="F14" s="6" t="n">
        <v>2</v>
      </c>
      <c r="G14" s="6" t="inlineStr">
        <is>
          <t>جلد</t>
        </is>
      </c>
      <c r="H14" s="6" t="inlineStr">
        <is>
          <t>نعم</t>
        </is>
      </c>
      <c r="I14" s="5" t="inlineStr">
        <is>
          <t>—</t>
        </is>
      </c>
      <c r="J14" s="6" t="inlineStr">
        <is>
          <t>لا</t>
        </is>
      </c>
      <c r="K14" s="6" t="inlineStr">
        <is>
          <t>لا</t>
        </is>
      </c>
      <c r="L14" s="6" t="inlineStr">
        <is>
          <t>لا</t>
        </is>
      </c>
      <c r="M14" s="6" t="inlineStr">
        <is>
          <t>لا</t>
        </is>
      </c>
      <c r="N14" s="6" t="inlineStr">
        <is>
          <t>لا</t>
        </is>
      </c>
      <c r="O14" s="6" t="inlineStr">
        <is>
          <t>لا</t>
        </is>
      </c>
      <c r="P14" s="7" t="n">
        <v>121418</v>
      </c>
      <c r="Q14" s="7" t="n">
        <v>121418</v>
      </c>
      <c r="R14" s="7" t="n">
        <v>124418</v>
      </c>
      <c r="S14" s="6" t="n">
        <v>4</v>
      </c>
      <c r="T14" s="5" t="inlineStr">
        <is>
          <t>فرع الدمام، فرع الرياض، فرع جدة</t>
        </is>
      </c>
      <c r="U14" s="9">
        <f>IF('بحث سريع'!$B$3="",TRUE,P14&lt;='بحث سريع'!$B$3)</f>
        <v/>
      </c>
      <c r="V14" s="9">
        <f>IF('بحث سريع'!$B$4="الكل",TRUE,IF('بحث سريع'!$B$4="شبابي",J14="نعم",IF('بحث سريع'!$B$4="عائلي",K14="نعم",IF('بحث سريع'!$B$4="رياضي",L14="نعم",IF('بحث سريع'!$B$4="اقتصادي",M14="نعم",IF('بحث سريع'!$B$4="فاخم",N14="نعم",IF('بحث سريع'!$B$4="عملي",O14="نعم",FALSE)))))))</f>
        <v/>
      </c>
      <c r="W14" s="9">
        <f>IF('بحث سريع'!$B$5="الكل",TRUE,IF('بحث سريع'!$B$5="نعم",H14="نعم",H14="لا"))</f>
        <v/>
      </c>
      <c r="X14" s="9">
        <f>IF('بحث سريع'!$B$6="الكل",TRUE,A14='بحث سريع'!$B$6)</f>
        <v/>
      </c>
      <c r="Y14" s="9">
        <f>IF('بحث سريع'!$B$7="الكل",TRUE,E14='بحث سريع'!$B$7)</f>
        <v/>
      </c>
      <c r="Z14" s="9">
        <f>IF('بحث سريع'!$B$8="",TRUE,ISNUMBER(SEARCH('بحث سريع'!$B$8,A14&amp;" "&amp;B14&amp;" "&amp;C14)))</f>
        <v/>
      </c>
      <c r="AA14" s="9">
        <f>AND(U14:Z14)</f>
        <v/>
      </c>
    </row>
    <row r="15">
      <c r="A15" s="5" t="inlineStr">
        <is>
          <t>Nissan</t>
        </is>
      </c>
      <c r="B15" s="5" t="inlineStr">
        <is>
          <t>Patrol V6 3.8L</t>
        </is>
      </c>
      <c r="C15" s="5" t="inlineStr">
        <is>
          <t>Se T2</t>
        </is>
      </c>
      <c r="D15" s="6" t="n">
        <v>2026</v>
      </c>
      <c r="E15" s="6" t="inlineStr">
        <is>
          <t>أوتوماتيك</t>
        </is>
      </c>
      <c r="F15" s="6" t="n">
        <v>3.8</v>
      </c>
      <c r="G15" s="6" t="inlineStr">
        <is>
          <t>جلد</t>
        </is>
      </c>
      <c r="H15" s="6" t="inlineStr">
        <is>
          <t>لا</t>
        </is>
      </c>
      <c r="I15" s="5" t="inlineStr">
        <is>
          <t>—</t>
        </is>
      </c>
      <c r="J15" s="6" t="inlineStr">
        <is>
          <t>لا</t>
        </is>
      </c>
      <c r="K15" s="6" t="inlineStr">
        <is>
          <t>لا</t>
        </is>
      </c>
      <c r="L15" s="6" t="inlineStr">
        <is>
          <t>لا</t>
        </is>
      </c>
      <c r="M15" s="6" t="inlineStr">
        <is>
          <t>لا</t>
        </is>
      </c>
      <c r="N15" s="6" t="inlineStr">
        <is>
          <t>لا</t>
        </is>
      </c>
      <c r="O15" s="6" t="inlineStr">
        <is>
          <t>لا</t>
        </is>
      </c>
      <c r="P15" s="7" t="n">
        <v>271968</v>
      </c>
      <c r="Q15" s="7" t="n">
        <v>274268</v>
      </c>
      <c r="R15" s="7" t="n">
        <v>274968</v>
      </c>
      <c r="S15" s="6" t="n">
        <v>3</v>
      </c>
      <c r="T15" s="5" t="inlineStr">
        <is>
          <t>شركة، طويق، فرع الدمام</t>
        </is>
      </c>
      <c r="U15" s="9">
        <f>IF('بحث سريع'!$B$3="",TRUE,P15&lt;='بحث سريع'!$B$3)</f>
        <v/>
      </c>
      <c r="V15" s="9">
        <f>IF('بحث سريع'!$B$4="الكل",TRUE,IF('بحث سريع'!$B$4="شبابي",J15="نعم",IF('بحث سريع'!$B$4="عائلي",K15="نعم",IF('بحث سريع'!$B$4="رياضي",L15="نعم",IF('بحث سريع'!$B$4="اقتصادي",M15="نعم",IF('بحث سريع'!$B$4="فاخم",N15="نعم",IF('بحث سريع'!$B$4="عملي",O15="نعم",FALSE)))))))</f>
        <v/>
      </c>
      <c r="W15" s="9">
        <f>IF('بحث سريع'!$B$5="الكل",TRUE,IF('بحث سريع'!$B$5="نعم",H15="نعم",H15="لا"))</f>
        <v/>
      </c>
      <c r="X15" s="9">
        <f>IF('بحث سريع'!$B$6="الكل",TRUE,A15='بحث سريع'!$B$6)</f>
        <v/>
      </c>
      <c r="Y15" s="9">
        <f>IF('بحث سريع'!$B$7="الكل",TRUE,E15='بحث سريع'!$B$7)</f>
        <v/>
      </c>
      <c r="Z15" s="9">
        <f>IF('بحث سريع'!$B$8="",TRUE,ISNUMBER(SEARCH('بحث سريع'!$B$8,A15&amp;" "&amp;B15&amp;" "&amp;C15)))</f>
        <v/>
      </c>
      <c r="AA15" s="9">
        <f>AND(U15:Z15)</f>
        <v/>
      </c>
    </row>
    <row r="16">
      <c r="A16" s="5" t="inlineStr">
        <is>
          <t>Nissan</t>
        </is>
      </c>
      <c r="B16" s="5" t="inlineStr">
        <is>
          <t>Xtrail  4Wd 3R</t>
        </is>
      </c>
      <c r="C16" s="5" t="inlineStr">
        <is>
          <t>Sv+</t>
        </is>
      </c>
      <c r="D16" s="6" t="n">
        <v>2026</v>
      </c>
      <c r="E16" s="6" t="inlineStr">
        <is>
          <t>أوتوماتيك</t>
        </is>
      </c>
      <c r="F16" s="6" t="n">
        <v>2.5</v>
      </c>
      <c r="G16" s="6" t="inlineStr">
        <is>
          <t>قماش</t>
        </is>
      </c>
      <c r="H16" s="6" t="inlineStr">
        <is>
          <t>لا</t>
        </is>
      </c>
      <c r="I16" s="5" t="inlineStr">
        <is>
          <t>—</t>
        </is>
      </c>
      <c r="J16" s="6" t="inlineStr">
        <is>
          <t>لا</t>
        </is>
      </c>
      <c r="K16" s="6" t="inlineStr">
        <is>
          <t>لا</t>
        </is>
      </c>
      <c r="L16" s="6" t="inlineStr">
        <is>
          <t>لا</t>
        </is>
      </c>
      <c r="M16" s="6" t="inlineStr">
        <is>
          <t>لا</t>
        </is>
      </c>
      <c r="N16" s="6" t="inlineStr">
        <is>
          <t>لا</t>
        </is>
      </c>
      <c r="O16" s="6" t="inlineStr">
        <is>
          <t>لا</t>
        </is>
      </c>
      <c r="P16" s="7" t="n">
        <v>131900</v>
      </c>
      <c r="Q16" s="7" t="n">
        <v>131900</v>
      </c>
      <c r="R16" s="7" t="n">
        <v>134900</v>
      </c>
      <c r="S16" s="6" t="n">
        <v>3</v>
      </c>
      <c r="T16" s="5" t="inlineStr">
        <is>
          <t>فرع الدمام</t>
        </is>
      </c>
      <c r="U16" s="9">
        <f>IF('بحث سريع'!$B$3="",TRUE,P16&lt;='بحث سريع'!$B$3)</f>
        <v/>
      </c>
      <c r="V16" s="9">
        <f>IF('بحث سريع'!$B$4="الكل",TRUE,IF('بحث سريع'!$B$4="شبابي",J16="نعم",IF('بحث سريع'!$B$4="عائلي",K16="نعم",IF('بحث سريع'!$B$4="رياضي",L16="نعم",IF('بحث سريع'!$B$4="اقتصادي",M16="نعم",IF('بحث سريع'!$B$4="فاخم",N16="نعم",IF('بحث سريع'!$B$4="عملي",O16="نعم",FALSE)))))))</f>
        <v/>
      </c>
      <c r="W16" s="9">
        <f>IF('بحث سريع'!$B$5="الكل",TRUE,IF('بحث سريع'!$B$5="نعم",H16="نعم",H16="لا"))</f>
        <v/>
      </c>
      <c r="X16" s="9">
        <f>IF('بحث سريع'!$B$6="الكل",TRUE,A16='بحث سريع'!$B$6)</f>
        <v/>
      </c>
      <c r="Y16" s="9">
        <f>IF('بحث سريع'!$B$7="الكل",TRUE,E16='بحث سريع'!$B$7)</f>
        <v/>
      </c>
      <c r="Z16" s="9">
        <f>IF('بحث سريع'!$B$8="",TRUE,ISNUMBER(SEARCH('بحث سريع'!$B$8,A16&amp;" "&amp;B16&amp;" "&amp;C16)))</f>
        <v/>
      </c>
      <c r="AA16" s="9">
        <f>AND(U16:Z16)</f>
        <v/>
      </c>
    </row>
    <row r="17">
      <c r="A17" s="5" t="inlineStr">
        <is>
          <t>Nissan</t>
        </is>
      </c>
      <c r="B17" s="5" t="inlineStr">
        <is>
          <t>X TERRA</t>
        </is>
      </c>
      <c r="C17" s="5" t="inlineStr">
        <is>
          <t>Se 4Wd</t>
        </is>
      </c>
      <c r="D17" s="6" t="n">
        <v>2025</v>
      </c>
      <c r="E17" s="6" t="inlineStr">
        <is>
          <t>أوتوماتيك</t>
        </is>
      </c>
      <c r="F17" s="6" t="n">
        <v>2.5</v>
      </c>
      <c r="G17" s="6" t="inlineStr">
        <is>
          <t>قماش</t>
        </is>
      </c>
      <c r="H17" s="6" t="inlineStr">
        <is>
          <t>لا</t>
        </is>
      </c>
      <c r="I17" s="5" t="inlineStr">
        <is>
          <t>—</t>
        </is>
      </c>
      <c r="J17" s="6" t="inlineStr">
        <is>
          <t>لا</t>
        </is>
      </c>
      <c r="K17" s="6" t="inlineStr">
        <is>
          <t>لا</t>
        </is>
      </c>
      <c r="L17" s="6" t="inlineStr">
        <is>
          <t>لا</t>
        </is>
      </c>
      <c r="M17" s="6" t="inlineStr">
        <is>
          <t>لا</t>
        </is>
      </c>
      <c r="N17" s="6" t="inlineStr">
        <is>
          <t>لا</t>
        </is>
      </c>
      <c r="O17" s="6" t="inlineStr">
        <is>
          <t>لا</t>
        </is>
      </c>
      <c r="P17" s="7" t="n">
        <v>118065</v>
      </c>
      <c r="Q17" s="7" t="n">
        <v>118065</v>
      </c>
      <c r="R17" s="7" t="n">
        <v>121065</v>
      </c>
      <c r="S17" s="6" t="n">
        <v>1</v>
      </c>
      <c r="T17" s="5" t="inlineStr">
        <is>
          <t>فرع جدة</t>
        </is>
      </c>
      <c r="U17" s="9">
        <f>IF('بحث سريع'!$B$3="",TRUE,P17&lt;='بحث سريع'!$B$3)</f>
        <v/>
      </c>
      <c r="V17" s="9">
        <f>IF('بحث سريع'!$B$4="الكل",TRUE,IF('بحث سريع'!$B$4="شبابي",J17="نعم",IF('بحث سريع'!$B$4="عائلي",K17="نعم",IF('بحث سريع'!$B$4="رياضي",L17="نعم",IF('بحث سريع'!$B$4="اقتصادي",M17="نعم",IF('بحث سريع'!$B$4="فاخم",N17="نعم",IF('بحث سريع'!$B$4="عملي",O17="نعم",FALSE)))))))</f>
        <v/>
      </c>
      <c r="W17" s="9">
        <f>IF('بحث سريع'!$B$5="الكل",TRUE,IF('بحث سريع'!$B$5="نعم",H17="نعم",H17="لا"))</f>
        <v/>
      </c>
      <c r="X17" s="9">
        <f>IF('بحث سريع'!$B$6="الكل",TRUE,A17='بحث سريع'!$B$6)</f>
        <v/>
      </c>
      <c r="Y17" s="9">
        <f>IF('بحث سريع'!$B$7="الكل",TRUE,E17='بحث سريع'!$B$7)</f>
        <v/>
      </c>
      <c r="Z17" s="9">
        <f>IF('بحث سريع'!$B$8="",TRUE,ISNUMBER(SEARCH('بحث سريع'!$B$8,A17&amp;" "&amp;B17&amp;" "&amp;C17)))</f>
        <v/>
      </c>
      <c r="AA17" s="9">
        <f>AND(U17:Z17)</f>
        <v/>
      </c>
    </row>
    <row r="18">
      <c r="A18" s="5" t="inlineStr">
        <is>
          <t>MG</t>
        </is>
      </c>
      <c r="B18" s="5" t="inlineStr">
        <is>
          <t>MG5 1.5L</t>
        </is>
      </c>
      <c r="C18" s="5" t="inlineStr">
        <is>
          <t>Comfort</t>
        </is>
      </c>
      <c r="D18" s="6" t="n">
        <v>2025</v>
      </c>
      <c r="E18" s="6" t="inlineStr">
        <is>
          <t>أوتوماتيك</t>
        </is>
      </c>
      <c r="F18" s="6" t="n">
        <v>1.5</v>
      </c>
      <c r="G18" s="6" t="inlineStr">
        <is>
          <t>جلد</t>
        </is>
      </c>
      <c r="H18" s="6" t="inlineStr">
        <is>
          <t>لا</t>
        </is>
      </c>
      <c r="I18" s="5" t="inlineStr">
        <is>
          <t>اقتصادي</t>
        </is>
      </c>
      <c r="J18" s="6" t="inlineStr">
        <is>
          <t>لا</t>
        </is>
      </c>
      <c r="K18" s="6" t="inlineStr">
        <is>
          <t>لا</t>
        </is>
      </c>
      <c r="L18" s="6" t="inlineStr">
        <is>
          <t>لا</t>
        </is>
      </c>
      <c r="M18" s="6" t="inlineStr">
        <is>
          <t>نعم</t>
        </is>
      </c>
      <c r="N18" s="6" t="inlineStr">
        <is>
          <t>لا</t>
        </is>
      </c>
      <c r="O18" s="6" t="inlineStr">
        <is>
          <t>لا</t>
        </is>
      </c>
      <c r="P18" s="7" t="n">
        <v>50905</v>
      </c>
      <c r="Q18" s="7" t="n">
        <v>50905</v>
      </c>
      <c r="R18" s="7" t="n">
        <v>53905</v>
      </c>
      <c r="S18" s="6" t="n">
        <v>1</v>
      </c>
      <c r="T18" s="5" t="inlineStr">
        <is>
          <t>فرع الدمام</t>
        </is>
      </c>
      <c r="U18" s="9">
        <f>IF('بحث سريع'!$B$3="",TRUE,P18&lt;='بحث سريع'!$B$3)</f>
        <v/>
      </c>
      <c r="V18" s="9">
        <f>IF('بحث سريع'!$B$4="الكل",TRUE,IF('بحث سريع'!$B$4="شبابي",J18="نعم",IF('بحث سريع'!$B$4="عائلي",K18="نعم",IF('بحث سريع'!$B$4="رياضي",L18="نعم",IF('بحث سريع'!$B$4="اقتصادي",M18="نعم",IF('بحث سريع'!$B$4="فاخم",N18="نعم",IF('بحث سريع'!$B$4="عملي",O18="نعم",FALSE)))))))</f>
        <v/>
      </c>
      <c r="W18" s="9">
        <f>IF('بحث سريع'!$B$5="الكل",TRUE,IF('بحث سريع'!$B$5="نعم",H18="نعم",H18="لا"))</f>
        <v/>
      </c>
      <c r="X18" s="9">
        <f>IF('بحث سريع'!$B$6="الكل",TRUE,A18='بحث سريع'!$B$6)</f>
        <v/>
      </c>
      <c r="Y18" s="9">
        <f>IF('بحث سريع'!$B$7="الكل",TRUE,E18='بحث سريع'!$B$7)</f>
        <v/>
      </c>
      <c r="Z18" s="9">
        <f>IF('بحث سريع'!$B$8="",TRUE,ISNUMBER(SEARCH('بحث سريع'!$B$8,A18&amp;" "&amp;B18&amp;" "&amp;C18)))</f>
        <v/>
      </c>
      <c r="AA18" s="9">
        <f>AND(U18:Z18)</f>
        <v/>
      </c>
    </row>
    <row r="19">
      <c r="A19" s="5" t="inlineStr">
        <is>
          <t>MG</t>
        </is>
      </c>
      <c r="B19" s="5" t="inlineStr">
        <is>
          <t>MG5 1.5L</t>
        </is>
      </c>
      <c r="C19" s="5" t="inlineStr">
        <is>
          <t>Standard</t>
        </is>
      </c>
      <c r="D19" s="6" t="n">
        <v>2025</v>
      </c>
      <c r="E19" s="6" t="inlineStr">
        <is>
          <t>أوتوماتيك</t>
        </is>
      </c>
      <c r="F19" s="6" t="n">
        <v>1.5</v>
      </c>
      <c r="G19" s="6" t="inlineStr">
        <is>
          <t>قماش</t>
        </is>
      </c>
      <c r="H19" s="6" t="inlineStr">
        <is>
          <t>لا</t>
        </is>
      </c>
      <c r="I19" s="5" t="inlineStr">
        <is>
          <t>اقتصادي</t>
        </is>
      </c>
      <c r="J19" s="6" t="inlineStr">
        <is>
          <t>لا</t>
        </is>
      </c>
      <c r="K19" s="6" t="inlineStr">
        <is>
          <t>لا</t>
        </is>
      </c>
      <c r="L19" s="6" t="inlineStr">
        <is>
          <t>لا</t>
        </is>
      </c>
      <c r="M19" s="6" t="inlineStr">
        <is>
          <t>نعم</t>
        </is>
      </c>
      <c r="N19" s="6" t="inlineStr">
        <is>
          <t>لا</t>
        </is>
      </c>
      <c r="O19" s="6" t="inlineStr">
        <is>
          <t>لا</t>
        </is>
      </c>
      <c r="P19" s="7" t="n">
        <v>46765</v>
      </c>
      <c r="Q19" s="7" t="n">
        <v>46765</v>
      </c>
      <c r="R19" s="7" t="n">
        <v>49765</v>
      </c>
      <c r="S19" s="6" t="n">
        <v>1</v>
      </c>
      <c r="T19" s="5" t="inlineStr">
        <is>
          <t>معرض المحركات الجديد</t>
        </is>
      </c>
      <c r="U19" s="9">
        <f>IF('بحث سريع'!$B$3="",TRUE,P19&lt;='بحث سريع'!$B$3)</f>
        <v/>
      </c>
      <c r="V19" s="9">
        <f>IF('بحث سريع'!$B$4="الكل",TRUE,IF('بحث سريع'!$B$4="شبابي",J19="نعم",IF('بحث سريع'!$B$4="عائلي",K19="نعم",IF('بحث سريع'!$B$4="رياضي",L19="نعم",IF('بحث سريع'!$B$4="اقتصادي",M19="نعم",IF('بحث سريع'!$B$4="فاخم",N19="نعم",IF('بحث سريع'!$B$4="عملي",O19="نعم",FALSE)))))))</f>
        <v/>
      </c>
      <c r="W19" s="9">
        <f>IF('بحث سريع'!$B$5="الكل",TRUE,IF('بحث سريع'!$B$5="نعم",H19="نعم",H19="لا"))</f>
        <v/>
      </c>
      <c r="X19" s="9">
        <f>IF('بحث سريع'!$B$6="الكل",TRUE,A19='بحث سريع'!$B$6)</f>
        <v/>
      </c>
      <c r="Y19" s="9">
        <f>IF('بحث سريع'!$B$7="الكل",TRUE,E19='بحث سريع'!$B$7)</f>
        <v/>
      </c>
      <c r="Z19" s="9">
        <f>IF('بحث سريع'!$B$8="",TRUE,ISNUMBER(SEARCH('بحث سريع'!$B$8,A19&amp;" "&amp;B19&amp;" "&amp;C19)))</f>
        <v/>
      </c>
      <c r="AA19" s="9">
        <f>AND(U19:Z19)</f>
        <v/>
      </c>
    </row>
    <row r="20">
      <c r="A20" s="5" t="inlineStr">
        <is>
          <t>Jetour</t>
        </is>
      </c>
      <c r="B20" s="5" t="inlineStr">
        <is>
          <t>T1 2.0T</t>
        </is>
      </c>
      <c r="C20" s="5" t="inlineStr">
        <is>
          <t>Comfort</t>
        </is>
      </c>
      <c r="D20" s="6" t="n">
        <v>2026</v>
      </c>
      <c r="E20" s="6" t="inlineStr">
        <is>
          <t>أوتوماتيك</t>
        </is>
      </c>
      <c r="F20" s="6" t="n">
        <v>2</v>
      </c>
      <c r="G20" s="6" t="inlineStr">
        <is>
          <t>قماش</t>
        </is>
      </c>
      <c r="H20" s="6" t="inlineStr">
        <is>
          <t>لا</t>
        </is>
      </c>
      <c r="I20" s="5" t="inlineStr">
        <is>
          <t>—</t>
        </is>
      </c>
      <c r="J20" s="6" t="inlineStr">
        <is>
          <t>لا</t>
        </is>
      </c>
      <c r="K20" s="6" t="inlineStr">
        <is>
          <t>لا</t>
        </is>
      </c>
      <c r="L20" s="6" t="inlineStr">
        <is>
          <t>لا</t>
        </is>
      </c>
      <c r="M20" s="6" t="inlineStr">
        <is>
          <t>لا</t>
        </is>
      </c>
      <c r="N20" s="6" t="inlineStr">
        <is>
          <t>لا</t>
        </is>
      </c>
      <c r="O20" s="6" t="inlineStr">
        <is>
          <t>لا</t>
        </is>
      </c>
      <c r="P20" s="7" t="n">
        <v>97520</v>
      </c>
      <c r="Q20" s="7" t="n">
        <v>97520</v>
      </c>
      <c r="R20" s="7" t="n">
        <v>100520</v>
      </c>
      <c r="S20" s="6" t="n">
        <v>7</v>
      </c>
      <c r="T20" s="5" t="inlineStr">
        <is>
          <t>شركة</t>
        </is>
      </c>
      <c r="U20" s="9">
        <f>IF('بحث سريع'!$B$3="",TRUE,P20&lt;='بحث سريع'!$B$3)</f>
        <v/>
      </c>
      <c r="V20" s="9">
        <f>IF('بحث سريع'!$B$4="الكل",TRUE,IF('بحث سريع'!$B$4="شبابي",J20="نعم",IF('بحث سريع'!$B$4="عائلي",K20="نعم",IF('بحث سريع'!$B$4="رياضي",L20="نعم",IF('بحث سريع'!$B$4="اقتصادي",M20="نعم",IF('بحث سريع'!$B$4="فاخم",N20="نعم",IF('بحث سريع'!$B$4="عملي",O20="نعم",FALSE)))))))</f>
        <v/>
      </c>
      <c r="W20" s="9">
        <f>IF('بحث سريع'!$B$5="الكل",TRUE,IF('بحث سريع'!$B$5="نعم",H20="نعم",H20="لا"))</f>
        <v/>
      </c>
      <c r="X20" s="9">
        <f>IF('بحث سريع'!$B$6="الكل",TRUE,A20='بحث سريع'!$B$6)</f>
        <v/>
      </c>
      <c r="Y20" s="9">
        <f>IF('بحث سريع'!$B$7="الكل",TRUE,E20='بحث سريع'!$B$7)</f>
        <v/>
      </c>
      <c r="Z20" s="9">
        <f>IF('بحث سريع'!$B$8="",TRUE,ISNUMBER(SEARCH('بحث سريع'!$B$8,A20&amp;" "&amp;B20&amp;" "&amp;C20)))</f>
        <v/>
      </c>
      <c r="AA20" s="9">
        <f>AND(U20:Z20)</f>
        <v/>
      </c>
    </row>
    <row r="21">
      <c r="A21" s="5" t="inlineStr">
        <is>
          <t>Jetour</t>
        </is>
      </c>
      <c r="B21" s="5" t="inlineStr">
        <is>
          <t>Dashing 1.5T</t>
        </is>
      </c>
      <c r="C21" s="5" t="inlineStr">
        <is>
          <t>Base</t>
        </is>
      </c>
      <c r="D21" s="6" t="n">
        <v>2027</v>
      </c>
      <c r="E21" s="6" t="inlineStr">
        <is>
          <t>أوتوماتيك</t>
        </is>
      </c>
      <c r="F21" s="6" t="n">
        <v>1.5</v>
      </c>
      <c r="G21" s="6" t="inlineStr">
        <is>
          <t>قماش</t>
        </is>
      </c>
      <c r="H21" s="6" t="inlineStr">
        <is>
          <t>لا</t>
        </is>
      </c>
      <c r="I21" s="5" t="inlineStr">
        <is>
          <t>—</t>
        </is>
      </c>
      <c r="J21" s="6" t="inlineStr">
        <is>
          <t>لا</t>
        </is>
      </c>
      <c r="K21" s="6" t="inlineStr">
        <is>
          <t>لا</t>
        </is>
      </c>
      <c r="L21" s="6" t="inlineStr">
        <is>
          <t>لا</t>
        </is>
      </c>
      <c r="M21" s="6" t="inlineStr">
        <is>
          <t>لا</t>
        </is>
      </c>
      <c r="N21" s="6" t="inlineStr">
        <is>
          <t>لا</t>
        </is>
      </c>
      <c r="O21" s="6" t="inlineStr">
        <is>
          <t>لا</t>
        </is>
      </c>
      <c r="P21" s="7" t="n">
        <v>68319</v>
      </c>
      <c r="Q21" s="7" t="n">
        <v>68369</v>
      </c>
      <c r="R21" s="7" t="n">
        <v>71319</v>
      </c>
      <c r="S21" s="6" t="n">
        <v>4</v>
      </c>
      <c r="T21" s="5" t="inlineStr">
        <is>
          <t>شركة</t>
        </is>
      </c>
      <c r="U21" s="9">
        <f>IF('بحث سريع'!$B$3="",TRUE,P21&lt;='بحث سريع'!$B$3)</f>
        <v/>
      </c>
      <c r="V21" s="9">
        <f>IF('بحث سريع'!$B$4="الكل",TRUE,IF('بحث سريع'!$B$4="شبابي",J21="نعم",IF('بحث سريع'!$B$4="عائلي",K21="نعم",IF('بحث سريع'!$B$4="رياضي",L21="نعم",IF('بحث سريع'!$B$4="اقتصادي",M21="نعم",IF('بحث سريع'!$B$4="فاخم",N21="نعم",IF('بحث سريع'!$B$4="عملي",O21="نعم",FALSE)))))))</f>
        <v/>
      </c>
      <c r="W21" s="9">
        <f>IF('بحث سريع'!$B$5="الكل",TRUE,IF('بحث سريع'!$B$5="نعم",H21="نعم",H21="لا"))</f>
        <v/>
      </c>
      <c r="X21" s="9">
        <f>IF('بحث سريع'!$B$6="الكل",TRUE,A21='بحث سريع'!$B$6)</f>
        <v/>
      </c>
      <c r="Y21" s="9">
        <f>IF('بحث سريع'!$B$7="الكل",TRUE,E21='بحث سريع'!$B$7)</f>
        <v/>
      </c>
      <c r="Z21" s="9">
        <f>IF('بحث سريع'!$B$8="",TRUE,ISNUMBER(SEARCH('بحث سريع'!$B$8,A21&amp;" "&amp;B21&amp;" "&amp;C21)))</f>
        <v/>
      </c>
      <c r="AA21" s="9">
        <f>AND(U21:Z21)</f>
        <v/>
      </c>
    </row>
    <row r="22">
      <c r="A22" s="5" t="inlineStr">
        <is>
          <t>Jetour</t>
        </is>
      </c>
      <c r="B22" s="5" t="inlineStr">
        <is>
          <t>X70 1.5T</t>
        </is>
      </c>
      <c r="C22" s="5" t="inlineStr">
        <is>
          <t>Luxury</t>
        </is>
      </c>
      <c r="D22" s="6" t="n">
        <v>2026</v>
      </c>
      <c r="E22" s="6" t="inlineStr">
        <is>
          <t>أوتوماتيك</t>
        </is>
      </c>
      <c r="F22" s="6" t="n">
        <v>1.5</v>
      </c>
      <c r="G22" s="6" t="inlineStr">
        <is>
          <t>جلد</t>
        </is>
      </c>
      <c r="H22" s="6" t="inlineStr">
        <is>
          <t>لا</t>
        </is>
      </c>
      <c r="I22" s="5" t="inlineStr">
        <is>
          <t>—</t>
        </is>
      </c>
      <c r="J22" s="6" t="inlineStr">
        <is>
          <t>لا</t>
        </is>
      </c>
      <c r="K22" s="6" t="inlineStr">
        <is>
          <t>لا</t>
        </is>
      </c>
      <c r="L22" s="6" t="inlineStr">
        <is>
          <t>لا</t>
        </is>
      </c>
      <c r="M22" s="6" t="inlineStr">
        <is>
          <t>لا</t>
        </is>
      </c>
      <c r="N22" s="6" t="inlineStr">
        <is>
          <t>لا</t>
        </is>
      </c>
      <c r="O22" s="6" t="inlineStr">
        <is>
          <t>لا</t>
        </is>
      </c>
      <c r="P22" s="7" t="n">
        <v>80020</v>
      </c>
      <c r="Q22" s="7" t="n">
        <v>80020</v>
      </c>
      <c r="R22" s="7" t="n">
        <v>83020</v>
      </c>
      <c r="S22" s="6" t="n">
        <v>1</v>
      </c>
      <c r="T22" s="5" t="inlineStr">
        <is>
          <t>مستودع الدمام</t>
        </is>
      </c>
      <c r="U22" s="9">
        <f>IF('بحث سريع'!$B$3="",TRUE,P22&lt;='بحث سريع'!$B$3)</f>
        <v/>
      </c>
      <c r="V22" s="9">
        <f>IF('بحث سريع'!$B$4="الكل",TRUE,IF('بحث سريع'!$B$4="شبابي",J22="نعم",IF('بحث سريع'!$B$4="عائلي",K22="نعم",IF('بحث سريع'!$B$4="رياضي",L22="نعم",IF('بحث سريع'!$B$4="اقتصادي",M22="نعم",IF('بحث سريع'!$B$4="فاخم",N22="نعم",IF('بحث سريع'!$B$4="عملي",O22="نعم",FALSE)))))))</f>
        <v/>
      </c>
      <c r="W22" s="9">
        <f>IF('بحث سريع'!$B$5="الكل",TRUE,IF('بحث سريع'!$B$5="نعم",H22="نعم",H22="لا"))</f>
        <v/>
      </c>
      <c r="X22" s="9">
        <f>IF('بحث سريع'!$B$6="الكل",TRUE,A22='بحث سريع'!$B$6)</f>
        <v/>
      </c>
      <c r="Y22" s="9">
        <f>IF('بحث سريع'!$B$7="الكل",TRUE,E22='بحث سريع'!$B$7)</f>
        <v/>
      </c>
      <c r="Z22" s="9">
        <f>IF('بحث سريع'!$B$8="",TRUE,ISNUMBER(SEARCH('بحث سريع'!$B$8,A22&amp;" "&amp;B22&amp;" "&amp;C22)))</f>
        <v/>
      </c>
      <c r="AA22" s="9">
        <f>AND(U22:Z22)</f>
        <v/>
      </c>
    </row>
    <row r="23">
      <c r="A23" s="5" t="inlineStr">
        <is>
          <t>Hyundai</t>
        </is>
      </c>
      <c r="B23" s="5" t="inlineStr">
        <is>
          <t>TUCSON 2.0</t>
        </is>
      </c>
      <c r="C23" s="5" t="inlineStr">
        <is>
          <t>Gl Smart</t>
        </is>
      </c>
      <c r="D23" s="6" t="n">
        <v>2026</v>
      </c>
      <c r="E23" s="6" t="inlineStr">
        <is>
          <t>أوتوماتيك</t>
        </is>
      </c>
      <c r="F23" s="6" t="n">
        <v>2</v>
      </c>
      <c r="G23" s="6" t="inlineStr">
        <is>
          <t>قماش</t>
        </is>
      </c>
      <c r="H23" s="6" t="inlineStr">
        <is>
          <t>لا</t>
        </is>
      </c>
      <c r="I23" s="5" t="inlineStr">
        <is>
          <t>—</t>
        </is>
      </c>
      <c r="J23" s="6" t="inlineStr">
        <is>
          <t>لا</t>
        </is>
      </c>
      <c r="K23" s="6" t="inlineStr">
        <is>
          <t>لا</t>
        </is>
      </c>
      <c r="L23" s="6" t="inlineStr">
        <is>
          <t>لا</t>
        </is>
      </c>
      <c r="M23" s="6" t="inlineStr">
        <is>
          <t>لا</t>
        </is>
      </c>
      <c r="N23" s="6" t="inlineStr">
        <is>
          <t>لا</t>
        </is>
      </c>
      <c r="O23" s="6" t="inlineStr">
        <is>
          <t>لا</t>
        </is>
      </c>
      <c r="P23" s="7" t="n">
        <v>96215</v>
      </c>
      <c r="Q23" s="7" t="n">
        <v>96215</v>
      </c>
      <c r="R23" s="7" t="n">
        <v>99215</v>
      </c>
      <c r="S23" s="6" t="n">
        <v>2</v>
      </c>
      <c r="T23" s="5" t="inlineStr">
        <is>
          <t>فرع جدة</t>
        </is>
      </c>
      <c r="U23" s="9">
        <f>IF('بحث سريع'!$B$3="",TRUE,P23&lt;='بحث سريع'!$B$3)</f>
        <v/>
      </c>
      <c r="V23" s="9">
        <f>IF('بحث سريع'!$B$4="الكل",TRUE,IF('بحث سريع'!$B$4="شبابي",J23="نعم",IF('بحث سريع'!$B$4="عائلي",K23="نعم",IF('بحث سريع'!$B$4="رياضي",L23="نعم",IF('بحث سريع'!$B$4="اقتصادي",M23="نعم",IF('بحث سريع'!$B$4="فاخم",N23="نعم",IF('بحث سريع'!$B$4="عملي",O23="نعم",FALSE)))))))</f>
        <v/>
      </c>
      <c r="W23" s="9">
        <f>IF('بحث سريع'!$B$5="الكل",TRUE,IF('بحث سريع'!$B$5="نعم",H23="نعم",H23="لا"))</f>
        <v/>
      </c>
      <c r="X23" s="9">
        <f>IF('بحث سريع'!$B$6="الكل",TRUE,A23='بحث سريع'!$B$6)</f>
        <v/>
      </c>
      <c r="Y23" s="9">
        <f>IF('بحث سريع'!$B$7="الكل",TRUE,E23='بحث سريع'!$B$7)</f>
        <v/>
      </c>
      <c r="Z23" s="9">
        <f>IF('بحث سريع'!$B$8="",TRUE,ISNUMBER(SEARCH('بحث سريع'!$B$8,A23&amp;" "&amp;B23&amp;" "&amp;C23)))</f>
        <v/>
      </c>
      <c r="AA23" s="9">
        <f>AND(U23:Z23)</f>
        <v/>
      </c>
    </row>
    <row r="24">
      <c r="A24" s="5" t="inlineStr">
        <is>
          <t>Hyundai</t>
        </is>
      </c>
      <c r="B24" s="5" t="inlineStr">
        <is>
          <t>SONATA 2.5L</t>
        </is>
      </c>
      <c r="C24" s="5" t="inlineStr">
        <is>
          <t>L</t>
        </is>
      </c>
      <c r="D24" s="6" t="n">
        <v>2026</v>
      </c>
      <c r="E24" s="6" t="inlineStr">
        <is>
          <t>أوتوماتيك</t>
        </is>
      </c>
      <c r="F24" s="6" t="n">
        <v>2.5</v>
      </c>
      <c r="G24" s="6" t="inlineStr">
        <is>
          <t>قماش</t>
        </is>
      </c>
      <c r="H24" s="6" t="inlineStr">
        <is>
          <t>لا</t>
        </is>
      </c>
      <c r="I24" s="5" t="inlineStr">
        <is>
          <t>—</t>
        </is>
      </c>
      <c r="J24" s="6" t="inlineStr">
        <is>
          <t>لا</t>
        </is>
      </c>
      <c r="K24" s="6" t="inlineStr">
        <is>
          <t>لا</t>
        </is>
      </c>
      <c r="L24" s="6" t="inlineStr">
        <is>
          <t>لا</t>
        </is>
      </c>
      <c r="M24" s="6" t="inlineStr">
        <is>
          <t>لا</t>
        </is>
      </c>
      <c r="N24" s="6" t="inlineStr">
        <is>
          <t>لا</t>
        </is>
      </c>
      <c r="O24" s="6" t="inlineStr">
        <is>
          <t>لا</t>
        </is>
      </c>
      <c r="P24" s="7" t="n">
        <v>98550</v>
      </c>
      <c r="Q24" s="7" t="n">
        <v>98550</v>
      </c>
      <c r="R24" s="7" t="n">
        <v>101550</v>
      </c>
      <c r="S24" s="6" t="n">
        <v>3</v>
      </c>
      <c r="T24" s="5" t="inlineStr">
        <is>
          <t>شركة، فرع الدمام، فرع جدة</t>
        </is>
      </c>
      <c r="U24" s="9">
        <f>IF('بحث سريع'!$B$3="",TRUE,P24&lt;='بحث سريع'!$B$3)</f>
        <v/>
      </c>
      <c r="V24" s="9">
        <f>IF('بحث سريع'!$B$4="الكل",TRUE,IF('بحث سريع'!$B$4="شبابي",J24="نعم",IF('بحث سريع'!$B$4="عائلي",K24="نعم",IF('بحث سريع'!$B$4="رياضي",L24="نعم",IF('بحث سريع'!$B$4="اقتصادي",M24="نعم",IF('بحث سريع'!$B$4="فاخم",N24="نعم",IF('بحث سريع'!$B$4="عملي",O24="نعم",FALSE)))))))</f>
        <v/>
      </c>
      <c r="W24" s="9">
        <f>IF('بحث سريع'!$B$5="الكل",TRUE,IF('بحث سريع'!$B$5="نعم",H24="نعم",H24="لا"))</f>
        <v/>
      </c>
      <c r="X24" s="9">
        <f>IF('بحث سريع'!$B$6="الكل",TRUE,A24='بحث سريع'!$B$6)</f>
        <v/>
      </c>
      <c r="Y24" s="9">
        <f>IF('بحث سريع'!$B$7="الكل",TRUE,E24='بحث سريع'!$B$7)</f>
        <v/>
      </c>
      <c r="Z24" s="9">
        <f>IF('بحث سريع'!$B$8="",TRUE,ISNUMBER(SEARCH('بحث سريع'!$B$8,A24&amp;" "&amp;B24&amp;" "&amp;C24)))</f>
        <v/>
      </c>
      <c r="AA24" s="9">
        <f>AND(U24:Z24)</f>
        <v/>
      </c>
    </row>
    <row r="25">
      <c r="A25" s="5" t="inlineStr">
        <is>
          <t>Hyundai</t>
        </is>
      </c>
      <c r="B25" s="5" t="inlineStr">
        <is>
          <t>Creta Grand 2.0</t>
        </is>
      </c>
      <c r="C25" s="5" t="inlineStr">
        <is>
          <t>Gls Comfort</t>
        </is>
      </c>
      <c r="D25" s="6" t="n">
        <v>2026</v>
      </c>
      <c r="E25" s="6" t="inlineStr">
        <is>
          <t>أوتوماتيك</t>
        </is>
      </c>
      <c r="F25" s="6" t="n">
        <v>2</v>
      </c>
      <c r="G25" s="6" t="inlineStr">
        <is>
          <t>قماش</t>
        </is>
      </c>
      <c r="H25" s="6" t="inlineStr">
        <is>
          <t>لا</t>
        </is>
      </c>
      <c r="I25" s="5" t="inlineStr">
        <is>
          <t>عائلي</t>
        </is>
      </c>
      <c r="J25" s="6" t="inlineStr">
        <is>
          <t>لا</t>
        </is>
      </c>
      <c r="K25" s="6" t="inlineStr">
        <is>
          <t>نعم</t>
        </is>
      </c>
      <c r="L25" s="6" t="inlineStr">
        <is>
          <t>لا</t>
        </is>
      </c>
      <c r="M25" s="6" t="inlineStr">
        <is>
          <t>لا</t>
        </is>
      </c>
      <c r="N25" s="6" t="inlineStr">
        <is>
          <t>لا</t>
        </is>
      </c>
      <c r="O25" s="6" t="inlineStr">
        <is>
          <t>لا</t>
        </is>
      </c>
      <c r="P25" s="7" t="n">
        <v>103150</v>
      </c>
      <c r="Q25" s="7" t="n">
        <v>104875</v>
      </c>
      <c r="R25" s="7" t="n">
        <v>106150</v>
      </c>
      <c r="S25" s="6" t="n">
        <v>3</v>
      </c>
      <c r="T25" s="5" t="inlineStr">
        <is>
          <t>شركة، فرع الدمام، فرع الرياض</t>
        </is>
      </c>
      <c r="U25" s="9">
        <f>IF('بحث سريع'!$B$3="",TRUE,P25&lt;='بحث سريع'!$B$3)</f>
        <v/>
      </c>
      <c r="V25" s="9">
        <f>IF('بحث سريع'!$B$4="الكل",TRUE,IF('بحث سريع'!$B$4="شبابي",J25="نعم",IF('بحث سريع'!$B$4="عائلي",K25="نعم",IF('بحث سريع'!$B$4="رياضي",L25="نعم",IF('بحث سريع'!$B$4="اقتصادي",M25="نعم",IF('بحث سريع'!$B$4="فاخم",N25="نعم",IF('بحث سريع'!$B$4="عملي",O25="نعم",FALSE)))))))</f>
        <v/>
      </c>
      <c r="W25" s="9">
        <f>IF('بحث سريع'!$B$5="الكل",TRUE,IF('بحث سريع'!$B$5="نعم",H25="نعم",H25="لا"))</f>
        <v/>
      </c>
      <c r="X25" s="9">
        <f>IF('بحث سريع'!$B$6="الكل",TRUE,A25='بحث سريع'!$B$6)</f>
        <v/>
      </c>
      <c r="Y25" s="9">
        <f>IF('بحث سريع'!$B$7="الكل",TRUE,E25='بحث سريع'!$B$7)</f>
        <v/>
      </c>
      <c r="Z25" s="9">
        <f>IF('بحث سريع'!$B$8="",TRUE,ISNUMBER(SEARCH('بحث سريع'!$B$8,A25&amp;" "&amp;B25&amp;" "&amp;C25)))</f>
        <v/>
      </c>
      <c r="AA25" s="9">
        <f>AND(U25:Z25)</f>
        <v/>
      </c>
    </row>
    <row r="26">
      <c r="A26" s="5" t="inlineStr">
        <is>
          <t>Hyundai</t>
        </is>
      </c>
      <c r="B26" s="5" t="inlineStr">
        <is>
          <t>CRETA 1.5L</t>
        </is>
      </c>
      <c r="C26" s="5" t="inlineStr">
        <is>
          <t>Comfort</t>
        </is>
      </c>
      <c r="D26" s="6" t="n">
        <v>2026</v>
      </c>
      <c r="E26" s="6" t="inlineStr">
        <is>
          <t>أوتوماتيك</t>
        </is>
      </c>
      <c r="F26" s="6" t="n">
        <v>1.5</v>
      </c>
      <c r="G26" s="6" t="inlineStr">
        <is>
          <t>قماش</t>
        </is>
      </c>
      <c r="H26" s="6" t="inlineStr">
        <is>
          <t>لا</t>
        </is>
      </c>
      <c r="I26" s="5" t="inlineStr">
        <is>
          <t>اقتصادي</t>
        </is>
      </c>
      <c r="J26" s="6" t="inlineStr">
        <is>
          <t>لا</t>
        </is>
      </c>
      <c r="K26" s="6" t="inlineStr">
        <is>
          <t>لا</t>
        </is>
      </c>
      <c r="L26" s="6" t="inlineStr">
        <is>
          <t>لا</t>
        </is>
      </c>
      <c r="M26" s="6" t="inlineStr">
        <is>
          <t>نعم</t>
        </is>
      </c>
      <c r="N26" s="6" t="inlineStr">
        <is>
          <t>لا</t>
        </is>
      </c>
      <c r="O26" s="6" t="inlineStr">
        <is>
          <t>لا</t>
        </is>
      </c>
      <c r="P26" s="7" t="n">
        <v>84175</v>
      </c>
      <c r="Q26" s="7" t="n">
        <v>84175</v>
      </c>
      <c r="R26" s="7" t="n">
        <v>87175</v>
      </c>
      <c r="S26" s="6" t="n">
        <v>8</v>
      </c>
      <c r="T26" s="5" t="inlineStr">
        <is>
          <t>شركة، فرع الدمام، فرع الرياض، فرع جدة</t>
        </is>
      </c>
      <c r="U26" s="9">
        <f>IF('بحث سريع'!$B$3="",TRUE,P26&lt;='بحث سريع'!$B$3)</f>
        <v/>
      </c>
      <c r="V26" s="9">
        <f>IF('بحث سريع'!$B$4="الكل",TRUE,IF('بحث سريع'!$B$4="شبابي",J26="نعم",IF('بحث سريع'!$B$4="عائلي",K26="نعم",IF('بحث سريع'!$B$4="رياضي",L26="نعم",IF('بحث سريع'!$B$4="اقتصادي",M26="نعم",IF('بحث سريع'!$B$4="فاخم",N26="نعم",IF('بحث سريع'!$B$4="عملي",O26="نعم",FALSE)))))))</f>
        <v/>
      </c>
      <c r="W26" s="9">
        <f>IF('بحث سريع'!$B$5="الكل",TRUE,IF('بحث سريع'!$B$5="نعم",H26="نعم",H26="لا"))</f>
        <v/>
      </c>
      <c r="X26" s="9">
        <f>IF('بحث سريع'!$B$6="الكل",TRUE,A26='بحث سريع'!$B$6)</f>
        <v/>
      </c>
      <c r="Y26" s="9">
        <f>IF('بحث سريع'!$B$7="الكل",TRUE,E26='بحث سريع'!$B$7)</f>
        <v/>
      </c>
      <c r="Z26" s="9">
        <f>IF('بحث سريع'!$B$8="",TRUE,ISNUMBER(SEARCH('بحث سريع'!$B$8,A26&amp;" "&amp;B26&amp;" "&amp;C26)))</f>
        <v/>
      </c>
      <c r="AA26" s="9">
        <f>AND(U26:Z26)</f>
        <v/>
      </c>
    </row>
    <row r="27">
      <c r="A27" s="5" t="inlineStr">
        <is>
          <t>Hyundai</t>
        </is>
      </c>
      <c r="B27" s="5" t="inlineStr">
        <is>
          <t>ACCENT 1.5L</t>
        </is>
      </c>
      <c r="C27" s="5" t="inlineStr">
        <is>
          <t>Gl Smart</t>
        </is>
      </c>
      <c r="D27" s="6" t="n">
        <v>2026</v>
      </c>
      <c r="E27" s="6" t="inlineStr">
        <is>
          <t>أوتوماتيك</t>
        </is>
      </c>
      <c r="F27" s="6" t="n">
        <v>1.5</v>
      </c>
      <c r="G27" s="6" t="inlineStr">
        <is>
          <t>قماش</t>
        </is>
      </c>
      <c r="H27" s="6" t="inlineStr">
        <is>
          <t>لا</t>
        </is>
      </c>
      <c r="I27" s="5" t="inlineStr">
        <is>
          <t>اقتصادي، عملي</t>
        </is>
      </c>
      <c r="J27" s="6" t="inlineStr">
        <is>
          <t>لا</t>
        </is>
      </c>
      <c r="K27" s="6" t="inlineStr">
        <is>
          <t>لا</t>
        </is>
      </c>
      <c r="L27" s="6" t="inlineStr">
        <is>
          <t>لا</t>
        </is>
      </c>
      <c r="M27" s="6" t="inlineStr">
        <is>
          <t>نعم</t>
        </is>
      </c>
      <c r="N27" s="6" t="inlineStr">
        <is>
          <t>لا</t>
        </is>
      </c>
      <c r="O27" s="6" t="inlineStr">
        <is>
          <t>نعم</t>
        </is>
      </c>
      <c r="P27" s="7" t="n">
        <v>62900</v>
      </c>
      <c r="Q27" s="7" t="n">
        <v>69225</v>
      </c>
      <c r="R27" s="7" t="n">
        <v>65900</v>
      </c>
      <c r="S27" s="6" t="n">
        <v>30</v>
      </c>
      <c r="T27" s="5" t="inlineStr">
        <is>
          <t>شركة، فرع الدمام، فرع الرياض، فرع جدة</t>
        </is>
      </c>
      <c r="U27" s="9">
        <f>IF('بحث سريع'!$B$3="",TRUE,P27&lt;='بحث سريع'!$B$3)</f>
        <v/>
      </c>
      <c r="V27" s="9">
        <f>IF('بحث سريع'!$B$4="الكل",TRUE,IF('بحث سريع'!$B$4="شبابي",J27="نعم",IF('بحث سريع'!$B$4="عائلي",K27="نعم",IF('بحث سريع'!$B$4="رياضي",L27="نعم",IF('بحث سريع'!$B$4="اقتصادي",M27="نعم",IF('بحث سريع'!$B$4="فاخم",N27="نعم",IF('بحث سريع'!$B$4="عملي",O27="نعم",FALSE)))))))</f>
        <v/>
      </c>
      <c r="W27" s="9">
        <f>IF('بحث سريع'!$B$5="الكل",TRUE,IF('بحث سريع'!$B$5="نعم",H27="نعم",H27="لا"))</f>
        <v/>
      </c>
      <c r="X27" s="9">
        <f>IF('بحث سريع'!$B$6="الكل",TRUE,A27='بحث سريع'!$B$6)</f>
        <v/>
      </c>
      <c r="Y27" s="9">
        <f>IF('بحث سريع'!$B$7="الكل",TRUE,E27='بحث سريع'!$B$7)</f>
        <v/>
      </c>
      <c r="Z27" s="9">
        <f>IF('بحث سريع'!$B$8="",TRUE,ISNUMBER(SEARCH('بحث سريع'!$B$8,A27&amp;" "&amp;B27&amp;" "&amp;C27)))</f>
        <v/>
      </c>
      <c r="AA27" s="9">
        <f>AND(U27:Z27)</f>
        <v/>
      </c>
    </row>
    <row r="28">
      <c r="A28" s="5" t="inlineStr">
        <is>
          <t>Ford</t>
        </is>
      </c>
      <c r="B28" s="5" t="inlineStr">
        <is>
          <t>Territory 1.8 L</t>
        </is>
      </c>
      <c r="C28" s="5" t="inlineStr">
        <is>
          <t>Titanium Plus</t>
        </is>
      </c>
      <c r="D28" s="6" t="n">
        <v>2026</v>
      </c>
      <c r="E28" s="6" t="inlineStr">
        <is>
          <t>أوتوماتيك</t>
        </is>
      </c>
      <c r="F28" s="6" t="n">
        <v>1.8</v>
      </c>
      <c r="G28" s="6" t="inlineStr">
        <is>
          <t>جلد</t>
        </is>
      </c>
      <c r="H28" s="6" t="inlineStr">
        <is>
          <t>لا</t>
        </is>
      </c>
      <c r="I28" s="5" t="inlineStr">
        <is>
          <t>—</t>
        </is>
      </c>
      <c r="J28" s="6" t="inlineStr">
        <is>
          <t>لا</t>
        </is>
      </c>
      <c r="K28" s="6" t="inlineStr">
        <is>
          <t>لا</t>
        </is>
      </c>
      <c r="L28" s="6" t="inlineStr">
        <is>
          <t>لا</t>
        </is>
      </c>
      <c r="M28" s="6" t="inlineStr">
        <is>
          <t>لا</t>
        </is>
      </c>
      <c r="N28" s="6" t="inlineStr">
        <is>
          <t>لا</t>
        </is>
      </c>
      <c r="O28" s="6" t="inlineStr">
        <is>
          <t>لا</t>
        </is>
      </c>
      <c r="P28" s="7" t="n">
        <v>117950</v>
      </c>
      <c r="Q28" s="7" t="n">
        <v>117950</v>
      </c>
      <c r="R28" s="7" t="n">
        <v>120950</v>
      </c>
      <c r="S28" s="6" t="n">
        <v>1</v>
      </c>
      <c r="T28" s="5" t="inlineStr">
        <is>
          <t>فرع جدة</t>
        </is>
      </c>
      <c r="U28" s="9">
        <f>IF('بحث سريع'!$B$3="",TRUE,P28&lt;='بحث سريع'!$B$3)</f>
        <v/>
      </c>
      <c r="V28" s="9">
        <f>IF('بحث سريع'!$B$4="الكل",TRUE,IF('بحث سريع'!$B$4="شبابي",J28="نعم",IF('بحث سريع'!$B$4="عائلي",K28="نعم",IF('بحث سريع'!$B$4="رياضي",L28="نعم",IF('بحث سريع'!$B$4="اقتصادي",M28="نعم",IF('بحث سريع'!$B$4="فاخم",N28="نعم",IF('بحث سريع'!$B$4="عملي",O28="نعم",FALSE)))))))</f>
        <v/>
      </c>
      <c r="W28" s="9">
        <f>IF('بحث سريع'!$B$5="الكل",TRUE,IF('بحث سريع'!$B$5="نعم",H28="نعم",H28="لا"))</f>
        <v/>
      </c>
      <c r="X28" s="9">
        <f>IF('بحث سريع'!$B$6="الكل",TRUE,A28='بحث سريع'!$B$6)</f>
        <v/>
      </c>
      <c r="Y28" s="9">
        <f>IF('بحث سريع'!$B$7="الكل",TRUE,E28='بحث سريع'!$B$7)</f>
        <v/>
      </c>
      <c r="Z28" s="9">
        <f>IF('بحث سريع'!$B$8="",TRUE,ISNUMBER(SEARCH('بحث سريع'!$B$8,A28&amp;" "&amp;B28&amp;" "&amp;C28)))</f>
        <v/>
      </c>
      <c r="AA28" s="9">
        <f>AND(U28:Z28)</f>
        <v/>
      </c>
    </row>
    <row r="29">
      <c r="A29" s="5" t="inlineStr">
        <is>
          <t>GAC</t>
        </is>
      </c>
      <c r="B29" s="5" t="inlineStr">
        <is>
          <t>GS3 EMZOOM</t>
        </is>
      </c>
      <c r="C29" s="5" t="inlineStr">
        <is>
          <t>Sport Plus</t>
        </is>
      </c>
      <c r="D29" s="6" t="n">
        <v>2026</v>
      </c>
      <c r="E29" s="6" t="inlineStr">
        <is>
          <t>أوتوماتيك</t>
        </is>
      </c>
      <c r="F29" s="6" t="n">
        <v>1.5</v>
      </c>
      <c r="G29" s="6" t="inlineStr">
        <is>
          <t>جلد</t>
        </is>
      </c>
      <c r="H29" s="6" t="inlineStr">
        <is>
          <t>نعم</t>
        </is>
      </c>
      <c r="I29" s="5" t="inlineStr">
        <is>
          <t>رياضي</t>
        </is>
      </c>
      <c r="J29" s="6" t="inlineStr">
        <is>
          <t>لا</t>
        </is>
      </c>
      <c r="K29" s="6" t="inlineStr">
        <is>
          <t>لا</t>
        </is>
      </c>
      <c r="L29" s="6" t="inlineStr">
        <is>
          <t>نعم</t>
        </is>
      </c>
      <c r="M29" s="6" t="inlineStr">
        <is>
          <t>لا</t>
        </is>
      </c>
      <c r="N29" s="6" t="inlineStr">
        <is>
          <t>لا</t>
        </is>
      </c>
      <c r="O29" s="6" t="inlineStr">
        <is>
          <t>لا</t>
        </is>
      </c>
      <c r="P29" s="7" t="n">
        <v>68179</v>
      </c>
      <c r="Q29" s="7" t="n">
        <v>70467</v>
      </c>
      <c r="R29" s="7" t="n">
        <v>71179</v>
      </c>
      <c r="S29" s="6" t="n">
        <v>9</v>
      </c>
      <c r="T29" s="5" t="inlineStr">
        <is>
          <t>شركة، فرع الدمام، فرع الرياض، فرع جدة، مستودع الدمام</t>
        </is>
      </c>
      <c r="U29" s="9">
        <f>IF('بحث سريع'!$B$3="",TRUE,P29&lt;='بحث سريع'!$B$3)</f>
        <v/>
      </c>
      <c r="V29" s="9">
        <f>IF('بحث سريع'!$B$4="الكل",TRUE,IF('بحث سريع'!$B$4="شبابي",J29="نعم",IF('بحث سريع'!$B$4="عائلي",K29="نعم",IF('بحث سريع'!$B$4="رياضي",L29="نعم",IF('بحث سريع'!$B$4="اقتصادي",M29="نعم",IF('بحث سريع'!$B$4="فاخم",N29="نعم",IF('بحث سريع'!$B$4="عملي",O29="نعم",FALSE)))))))</f>
        <v/>
      </c>
      <c r="W29" s="9">
        <f>IF('بحث سريع'!$B$5="الكل",TRUE,IF('بحث سريع'!$B$5="نعم",H29="نعم",H29="لا"))</f>
        <v/>
      </c>
      <c r="X29" s="9">
        <f>IF('بحث سريع'!$B$6="الكل",TRUE,A29='بحث سريع'!$B$6)</f>
        <v/>
      </c>
      <c r="Y29" s="9">
        <f>IF('بحث سريع'!$B$7="الكل",TRUE,E29='بحث سريع'!$B$7)</f>
        <v/>
      </c>
      <c r="Z29" s="9">
        <f>IF('بحث سريع'!$B$8="",TRUE,ISNUMBER(SEARCH('بحث سريع'!$B$8,A29&amp;" "&amp;B29&amp;" "&amp;C29)))</f>
        <v/>
      </c>
      <c r="AA29" s="9">
        <f>AND(U29:Z29)</f>
        <v/>
      </c>
    </row>
    <row r="30">
      <c r="A30" s="5" t="inlineStr">
        <is>
          <t>GAC</t>
        </is>
      </c>
      <c r="B30" s="5" t="inlineStr">
        <is>
          <t>GS8</t>
        </is>
      </c>
      <c r="C30" s="5" t="inlineStr">
        <is>
          <t>Traveller</t>
        </is>
      </c>
      <c r="D30" s="6" t="n">
        <v>2026</v>
      </c>
      <c r="E30" s="6" t="inlineStr">
        <is>
          <t>أوتوماتيك</t>
        </is>
      </c>
      <c r="F30" s="6" t="n">
        <v>2</v>
      </c>
      <c r="G30" s="6" t="inlineStr">
        <is>
          <t>جلد</t>
        </is>
      </c>
      <c r="H30" s="6" t="inlineStr">
        <is>
          <t>نعم</t>
        </is>
      </c>
      <c r="I30" s="5" t="inlineStr">
        <is>
          <t>فاخم</t>
        </is>
      </c>
      <c r="J30" s="6" t="inlineStr">
        <is>
          <t>لا</t>
        </is>
      </c>
      <c r="K30" s="6" t="inlineStr">
        <is>
          <t>لا</t>
        </is>
      </c>
      <c r="L30" s="6" t="inlineStr">
        <is>
          <t>لا</t>
        </is>
      </c>
      <c r="M30" s="6" t="inlineStr">
        <is>
          <t>لا</t>
        </is>
      </c>
      <c r="N30" s="6" t="inlineStr">
        <is>
          <t>نعم</t>
        </is>
      </c>
      <c r="O30" s="6" t="inlineStr">
        <is>
          <t>لا</t>
        </is>
      </c>
      <c r="P30" s="7" t="n">
        <v>127277</v>
      </c>
      <c r="Q30" s="7" t="n">
        <v>127392</v>
      </c>
      <c r="R30" s="7" t="n">
        <v>130277</v>
      </c>
      <c r="S30" s="6" t="n">
        <v>4</v>
      </c>
      <c r="T30" s="5" t="inlineStr">
        <is>
          <t>شركة، فرع الرياض، فرع جدة</t>
        </is>
      </c>
      <c r="U30" s="9">
        <f>IF('بحث سريع'!$B$3="",TRUE,P30&lt;='بحث سريع'!$B$3)</f>
        <v/>
      </c>
      <c r="V30" s="9">
        <f>IF('بحث سريع'!$B$4="الكل",TRUE,IF('بحث سريع'!$B$4="شبابي",J30="نعم",IF('بحث سريع'!$B$4="عائلي",K30="نعم",IF('بحث سريع'!$B$4="رياضي",L30="نعم",IF('بحث سريع'!$B$4="اقتصادي",M30="نعم",IF('بحث سريع'!$B$4="فاخم",N30="نعم",IF('بحث سريع'!$B$4="عملي",O30="نعم",FALSE)))))))</f>
        <v/>
      </c>
      <c r="W30" s="9">
        <f>IF('بحث سريع'!$B$5="الكل",TRUE,IF('بحث سريع'!$B$5="نعم",H30="نعم",H30="لا"))</f>
        <v/>
      </c>
      <c r="X30" s="9">
        <f>IF('بحث سريع'!$B$6="الكل",TRUE,A30='بحث سريع'!$B$6)</f>
        <v/>
      </c>
      <c r="Y30" s="9">
        <f>IF('بحث سريع'!$B$7="الكل",TRUE,E30='بحث سريع'!$B$7)</f>
        <v/>
      </c>
      <c r="Z30" s="9">
        <f>IF('بحث سريع'!$B$8="",TRUE,ISNUMBER(SEARCH('بحث سريع'!$B$8,A30&amp;" "&amp;B30&amp;" "&amp;C30)))</f>
        <v/>
      </c>
      <c r="AA30" s="9">
        <f>AND(U30:Z30)</f>
        <v/>
      </c>
    </row>
    <row r="31">
      <c r="A31" s="5" t="inlineStr">
        <is>
          <t>GAC</t>
        </is>
      </c>
      <c r="B31" s="5" t="inlineStr">
        <is>
          <t>GS8</t>
        </is>
      </c>
      <c r="C31" s="5" t="inlineStr">
        <is>
          <t>Gt Awd</t>
        </is>
      </c>
      <c r="D31" s="6" t="n">
        <v>2026</v>
      </c>
      <c r="E31" s="6" t="inlineStr">
        <is>
          <t>أوتوماتيك</t>
        </is>
      </c>
      <c r="F31" s="6" t="n">
        <v>2</v>
      </c>
      <c r="G31" s="6" t="inlineStr">
        <is>
          <t>جلد</t>
        </is>
      </c>
      <c r="H31" s="6" t="inlineStr">
        <is>
          <t>نعم</t>
        </is>
      </c>
      <c r="I31" s="5" t="inlineStr">
        <is>
          <t>عائلي، فاخم</t>
        </is>
      </c>
      <c r="J31" s="6" t="inlineStr">
        <is>
          <t>لا</t>
        </is>
      </c>
      <c r="K31" s="6" t="inlineStr">
        <is>
          <t>نعم</t>
        </is>
      </c>
      <c r="L31" s="6" t="inlineStr">
        <is>
          <t>لا</t>
        </is>
      </c>
      <c r="M31" s="6" t="inlineStr">
        <is>
          <t>لا</t>
        </is>
      </c>
      <c r="N31" s="6" t="inlineStr">
        <is>
          <t>نعم</t>
        </is>
      </c>
      <c r="O31" s="6" t="inlineStr">
        <is>
          <t>لا</t>
        </is>
      </c>
      <c r="P31" s="7" t="n">
        <v>118192</v>
      </c>
      <c r="Q31" s="7" t="n">
        <v>118192</v>
      </c>
      <c r="R31" s="7" t="n">
        <v>121192</v>
      </c>
      <c r="S31" s="6" t="n">
        <v>2</v>
      </c>
      <c r="T31" s="5" t="inlineStr">
        <is>
          <t>شركة، فرع جدة</t>
        </is>
      </c>
      <c r="U31" s="9">
        <f>IF('بحث سريع'!$B$3="",TRUE,P31&lt;='بحث سريع'!$B$3)</f>
        <v/>
      </c>
      <c r="V31" s="9">
        <f>IF('بحث سريع'!$B$4="الكل",TRUE,IF('بحث سريع'!$B$4="شبابي",J31="نعم",IF('بحث سريع'!$B$4="عائلي",K31="نعم",IF('بحث سريع'!$B$4="رياضي",L31="نعم",IF('بحث سريع'!$B$4="اقتصادي",M31="نعم",IF('بحث سريع'!$B$4="فاخم",N31="نعم",IF('بحث سريع'!$B$4="عملي",O31="نعم",FALSE)))))))</f>
        <v/>
      </c>
      <c r="W31" s="9">
        <f>IF('بحث سريع'!$B$5="الكل",TRUE,IF('بحث سريع'!$B$5="نعم",H31="نعم",H31="لا"))</f>
        <v/>
      </c>
      <c r="X31" s="9">
        <f>IF('بحث سريع'!$B$6="الكل",TRUE,A31='بحث سريع'!$B$6)</f>
        <v/>
      </c>
      <c r="Y31" s="9">
        <f>IF('بحث سريع'!$B$7="الكل",TRUE,E31='بحث سريع'!$B$7)</f>
        <v/>
      </c>
      <c r="Z31" s="9">
        <f>IF('بحث سريع'!$B$8="",TRUE,ISNUMBER(SEARCH('بحث سريع'!$B$8,A31&amp;" "&amp;B31&amp;" "&amp;C31)))</f>
        <v/>
      </c>
      <c r="AA31" s="9">
        <f>AND(U31:Z31)</f>
        <v/>
      </c>
    </row>
    <row r="32">
      <c r="A32" s="5" t="inlineStr">
        <is>
          <t>Kia (NMC)</t>
        </is>
      </c>
      <c r="B32" s="5" t="inlineStr">
        <is>
          <t>Sportage L 1.5T</t>
        </is>
      </c>
      <c r="C32" s="5" t="inlineStr">
        <is>
          <t>Gl</t>
        </is>
      </c>
      <c r="D32" s="6" t="n">
        <v>2026</v>
      </c>
      <c r="E32" s="6" t="inlineStr">
        <is>
          <t>أوتوماتيك</t>
        </is>
      </c>
      <c r="F32" s="6" t="n">
        <v>1.5</v>
      </c>
      <c r="G32" s="6" t="inlineStr">
        <is>
          <t>قماش</t>
        </is>
      </c>
      <c r="H32" s="6" t="inlineStr">
        <is>
          <t>لا</t>
        </is>
      </c>
      <c r="I32" s="5" t="inlineStr">
        <is>
          <t>—</t>
        </is>
      </c>
      <c r="J32" s="6" t="inlineStr">
        <is>
          <t>لا</t>
        </is>
      </c>
      <c r="K32" s="6" t="inlineStr">
        <is>
          <t>لا</t>
        </is>
      </c>
      <c r="L32" s="6" t="inlineStr">
        <is>
          <t>لا</t>
        </is>
      </c>
      <c r="M32" s="6" t="inlineStr">
        <is>
          <t>لا</t>
        </is>
      </c>
      <c r="N32" s="6" t="inlineStr">
        <is>
          <t>لا</t>
        </is>
      </c>
      <c r="O32" s="6" t="inlineStr">
        <is>
          <t>لا</t>
        </is>
      </c>
      <c r="P32" s="7" t="n">
        <v>92800</v>
      </c>
      <c r="Q32" s="7" t="n">
        <v>92800</v>
      </c>
      <c r="R32" s="7" t="n">
        <v>95800</v>
      </c>
      <c r="S32" s="6" t="n">
        <v>3</v>
      </c>
      <c r="T32" s="5" t="inlineStr">
        <is>
          <t>فرع الدمام، فرع الرياض</t>
        </is>
      </c>
      <c r="U32" s="9">
        <f>IF('بحث سريع'!$B$3="",TRUE,P32&lt;='بحث سريع'!$B$3)</f>
        <v/>
      </c>
      <c r="V32" s="9">
        <f>IF('بحث سريع'!$B$4="الكل",TRUE,IF('بحث سريع'!$B$4="شبابي",J32="نعم",IF('بحث سريع'!$B$4="عائلي",K32="نعم",IF('بحث سريع'!$B$4="رياضي",L32="نعم",IF('بحث سريع'!$B$4="اقتصادي",M32="نعم",IF('بحث سريع'!$B$4="فاخم",N32="نعم",IF('بحث سريع'!$B$4="عملي",O32="نعم",FALSE)))))))</f>
        <v/>
      </c>
      <c r="W32" s="9">
        <f>IF('بحث سريع'!$B$5="الكل",TRUE,IF('بحث سريع'!$B$5="نعم",H32="نعم",H32="لا"))</f>
        <v/>
      </c>
      <c r="X32" s="9">
        <f>IF('بحث سريع'!$B$6="الكل",TRUE,A32='بحث سريع'!$B$6)</f>
        <v/>
      </c>
      <c r="Y32" s="9">
        <f>IF('بحث سريع'!$B$7="الكل",TRUE,E32='بحث سريع'!$B$7)</f>
        <v/>
      </c>
      <c r="Z32" s="9">
        <f>IF('بحث سريع'!$B$8="",TRUE,ISNUMBER(SEARCH('بحث سريع'!$B$8,A32&amp;" "&amp;B32&amp;" "&amp;C32)))</f>
        <v/>
      </c>
      <c r="AA32" s="9">
        <f>AND(U32:Z32)</f>
        <v/>
      </c>
    </row>
    <row r="33">
      <c r="A33" s="5" t="inlineStr">
        <is>
          <t>Kia (NMC)</t>
        </is>
      </c>
      <c r="B33" s="5" t="inlineStr">
        <is>
          <t>SONET</t>
        </is>
      </c>
      <c r="C33" s="5" t="inlineStr">
        <is>
          <t>Gls Brown Leather Seats</t>
        </is>
      </c>
      <c r="D33" s="6" t="n">
        <v>2026</v>
      </c>
      <c r="E33" s="6" t="inlineStr">
        <is>
          <t>أوتوماتيك</t>
        </is>
      </c>
      <c r="F33" s="6" t="n">
        <v>1.5</v>
      </c>
      <c r="G33" s="6" t="inlineStr">
        <is>
          <t>جلد</t>
        </is>
      </c>
      <c r="H33" s="6" t="inlineStr">
        <is>
          <t>نعم</t>
        </is>
      </c>
      <c r="I33" s="5" t="inlineStr">
        <is>
          <t>شبابي، عملي</t>
        </is>
      </c>
      <c r="J33" s="6" t="inlineStr">
        <is>
          <t>نعم</t>
        </is>
      </c>
      <c r="K33" s="6" t="inlineStr">
        <is>
          <t>لا</t>
        </is>
      </c>
      <c r="L33" s="6" t="inlineStr">
        <is>
          <t>لا</t>
        </is>
      </c>
      <c r="M33" s="6" t="inlineStr">
        <is>
          <t>لا</t>
        </is>
      </c>
      <c r="N33" s="6" t="inlineStr">
        <is>
          <t>لا</t>
        </is>
      </c>
      <c r="O33" s="6" t="inlineStr">
        <is>
          <t>نعم</t>
        </is>
      </c>
      <c r="P33" s="7" t="n">
        <v>77275</v>
      </c>
      <c r="Q33" s="7" t="n">
        <v>77275</v>
      </c>
      <c r="R33" s="7" t="n">
        <v>80275</v>
      </c>
      <c r="S33" s="6" t="n">
        <v>1</v>
      </c>
      <c r="T33" s="5" t="inlineStr">
        <is>
          <t>فرع الدمام</t>
        </is>
      </c>
      <c r="U33" s="9">
        <f>IF('بحث سريع'!$B$3="",TRUE,P33&lt;='بحث سريع'!$B$3)</f>
        <v/>
      </c>
      <c r="V33" s="9">
        <f>IF('بحث سريع'!$B$4="الكل",TRUE,IF('بحث سريع'!$B$4="شبابي",J33="نعم",IF('بحث سريع'!$B$4="عائلي",K33="نعم",IF('بحث سريع'!$B$4="رياضي",L33="نعم",IF('بحث سريع'!$B$4="اقتصادي",M33="نعم",IF('بحث سريع'!$B$4="فاخم",N33="نعم",IF('بحث سريع'!$B$4="عملي",O33="نعم",FALSE)))))))</f>
        <v/>
      </c>
      <c r="W33" s="9">
        <f>IF('بحث سريع'!$B$5="الكل",TRUE,IF('بحث سريع'!$B$5="نعم",H33="نعم",H33="لا"))</f>
        <v/>
      </c>
      <c r="X33" s="9">
        <f>IF('بحث سريع'!$B$6="الكل",TRUE,A33='بحث سريع'!$B$6)</f>
        <v/>
      </c>
      <c r="Y33" s="9">
        <f>IF('بحث سريع'!$B$7="الكل",TRUE,E33='بحث سريع'!$B$7)</f>
        <v/>
      </c>
      <c r="Z33" s="9">
        <f>IF('بحث سريع'!$B$8="",TRUE,ISNUMBER(SEARCH('بحث سريع'!$B$8,A33&amp;" "&amp;B33&amp;" "&amp;C33)))</f>
        <v/>
      </c>
      <c r="AA33" s="9">
        <f>AND(U33:Z33)</f>
        <v/>
      </c>
    </row>
    <row r="34">
      <c r="A34" s="5" t="inlineStr">
        <is>
          <t>Kia (NMC)</t>
        </is>
      </c>
      <c r="B34" s="5" t="inlineStr">
        <is>
          <t>SELTOS 1.5L</t>
        </is>
      </c>
      <c r="C34" s="5" t="inlineStr">
        <is>
          <t>Gl</t>
        </is>
      </c>
      <c r="D34" s="6" t="n">
        <v>2026</v>
      </c>
      <c r="E34" s="6" t="inlineStr">
        <is>
          <t>أوتوماتيك</t>
        </is>
      </c>
      <c r="F34" s="6" t="n">
        <v>1.5</v>
      </c>
      <c r="G34" s="6" t="inlineStr">
        <is>
          <t>قماش</t>
        </is>
      </c>
      <c r="H34" s="6" t="inlineStr">
        <is>
          <t>لا</t>
        </is>
      </c>
      <c r="I34" s="5" t="inlineStr">
        <is>
          <t>—</t>
        </is>
      </c>
      <c r="J34" s="6" t="inlineStr">
        <is>
          <t>لا</t>
        </is>
      </c>
      <c r="K34" s="6" t="inlineStr">
        <is>
          <t>لا</t>
        </is>
      </c>
      <c r="L34" s="6" t="inlineStr">
        <is>
          <t>لا</t>
        </is>
      </c>
      <c r="M34" s="6" t="inlineStr">
        <is>
          <t>لا</t>
        </is>
      </c>
      <c r="N34" s="6" t="inlineStr">
        <is>
          <t>لا</t>
        </is>
      </c>
      <c r="O34" s="6" t="inlineStr">
        <is>
          <t>لا</t>
        </is>
      </c>
      <c r="P34" s="7" t="n">
        <v>77850</v>
      </c>
      <c r="Q34" s="7" t="n">
        <v>77850</v>
      </c>
      <c r="R34" s="7" t="n">
        <v>80850</v>
      </c>
      <c r="S34" s="6" t="n">
        <v>1</v>
      </c>
      <c r="T34" s="5" t="inlineStr">
        <is>
          <t>فرع الدمام</t>
        </is>
      </c>
      <c r="U34" s="9">
        <f>IF('بحث سريع'!$B$3="",TRUE,P34&lt;='بحث سريع'!$B$3)</f>
        <v/>
      </c>
      <c r="V34" s="9">
        <f>IF('بحث سريع'!$B$4="الكل",TRUE,IF('بحث سريع'!$B$4="شبابي",J34="نعم",IF('بحث سريع'!$B$4="عائلي",K34="نعم",IF('بحث سريع'!$B$4="رياضي",L34="نعم",IF('بحث سريع'!$B$4="اقتصادي",M34="نعم",IF('بحث سريع'!$B$4="فاخم",N34="نعم",IF('بحث سريع'!$B$4="عملي",O34="نعم",FALSE)))))))</f>
        <v/>
      </c>
      <c r="W34" s="9">
        <f>IF('بحث سريع'!$B$5="الكل",TRUE,IF('بحث سريع'!$B$5="نعم",H34="نعم",H34="لا"))</f>
        <v/>
      </c>
      <c r="X34" s="9">
        <f>IF('بحث سريع'!$B$6="الكل",TRUE,A34='بحث سريع'!$B$6)</f>
        <v/>
      </c>
      <c r="Y34" s="9">
        <f>IF('بحث سريع'!$B$7="الكل",TRUE,E34='بحث سريع'!$B$7)</f>
        <v/>
      </c>
      <c r="Z34" s="9">
        <f>IF('بحث سريع'!$B$8="",TRUE,ISNUMBER(SEARCH('بحث سريع'!$B$8,A34&amp;" "&amp;B34&amp;" "&amp;C34)))</f>
        <v/>
      </c>
      <c r="AA34" s="9">
        <f>AND(U34:Z34)</f>
        <v/>
      </c>
    </row>
    <row r="35">
      <c r="A35" s="5" t="inlineStr">
        <is>
          <t>Kia (NMC)</t>
        </is>
      </c>
      <c r="B35" s="5" t="inlineStr">
        <is>
          <t>CARENS 1.5L</t>
        </is>
      </c>
      <c r="C35" s="5" t="inlineStr">
        <is>
          <t>Gl</t>
        </is>
      </c>
      <c r="D35" s="6" t="n">
        <v>2026</v>
      </c>
      <c r="E35" s="6" t="inlineStr">
        <is>
          <t>أوتوماتيك</t>
        </is>
      </c>
      <c r="F35" s="6" t="n">
        <v>1.5</v>
      </c>
      <c r="G35" s="6" t="inlineStr">
        <is>
          <t>قماش</t>
        </is>
      </c>
      <c r="H35" s="6" t="inlineStr">
        <is>
          <t>لا</t>
        </is>
      </c>
      <c r="I35" s="5" t="inlineStr">
        <is>
          <t>عائلي، عملي</t>
        </is>
      </c>
      <c r="J35" s="6" t="inlineStr">
        <is>
          <t>لا</t>
        </is>
      </c>
      <c r="K35" s="6" t="inlineStr">
        <is>
          <t>نعم</t>
        </is>
      </c>
      <c r="L35" s="6" t="inlineStr">
        <is>
          <t>لا</t>
        </is>
      </c>
      <c r="M35" s="6" t="inlineStr">
        <is>
          <t>لا</t>
        </is>
      </c>
      <c r="N35" s="6" t="inlineStr">
        <is>
          <t>لا</t>
        </is>
      </c>
      <c r="O35" s="6" t="inlineStr">
        <is>
          <t>نعم</t>
        </is>
      </c>
      <c r="P35" s="7" t="n">
        <v>77274</v>
      </c>
      <c r="Q35" s="7" t="n">
        <v>77274</v>
      </c>
      <c r="R35" s="7" t="n">
        <v>80274</v>
      </c>
      <c r="S35" s="6" t="n">
        <v>2</v>
      </c>
      <c r="T35" s="5" t="inlineStr">
        <is>
          <t>فرع الدمام</t>
        </is>
      </c>
      <c r="U35" s="9">
        <f>IF('بحث سريع'!$B$3="",TRUE,P35&lt;='بحث سريع'!$B$3)</f>
        <v/>
      </c>
      <c r="V35" s="9">
        <f>IF('بحث سريع'!$B$4="الكل",TRUE,IF('بحث سريع'!$B$4="شبابي",J35="نعم",IF('بحث سريع'!$B$4="عائلي",K35="نعم",IF('بحث سريع'!$B$4="رياضي",L35="نعم",IF('بحث سريع'!$B$4="اقتصادي",M35="نعم",IF('بحث سريع'!$B$4="فاخم",N35="نعم",IF('بحث سريع'!$B$4="عملي",O35="نعم",FALSE)))))))</f>
        <v/>
      </c>
      <c r="W35" s="9">
        <f>IF('بحث سريع'!$B$5="الكل",TRUE,IF('بحث سريع'!$B$5="نعم",H35="نعم",H35="لا"))</f>
        <v/>
      </c>
      <c r="X35" s="9">
        <f>IF('بحث سريع'!$B$6="الكل",TRUE,A35='بحث سريع'!$B$6)</f>
        <v/>
      </c>
      <c r="Y35" s="9">
        <f>IF('بحث سريع'!$B$7="الكل",TRUE,E35='بحث سريع'!$B$7)</f>
        <v/>
      </c>
      <c r="Z35" s="9">
        <f>IF('بحث سريع'!$B$8="",TRUE,ISNUMBER(SEARCH('بحث سريع'!$B$8,A35&amp;" "&amp;B35&amp;" "&amp;C35)))</f>
        <v/>
      </c>
      <c r="AA35" s="9">
        <f>AND(U35:Z35)</f>
        <v/>
      </c>
    </row>
    <row r="36">
      <c r="A36" s="5" t="inlineStr">
        <is>
          <t>MG</t>
        </is>
      </c>
      <c r="B36" s="5" t="inlineStr">
        <is>
          <t>Mg3 1.5L Cvt</t>
        </is>
      </c>
      <c r="C36" s="5" t="inlineStr">
        <is>
          <t>Standard</t>
        </is>
      </c>
      <c r="D36" s="6" t="n">
        <v>2025</v>
      </c>
      <c r="E36" s="6" t="inlineStr">
        <is>
          <t>أوتوماتيك</t>
        </is>
      </c>
      <c r="F36" s="6" t="n">
        <v>1.5</v>
      </c>
      <c r="G36" s="6" t="inlineStr">
        <is>
          <t>قماش</t>
        </is>
      </c>
      <c r="H36" s="6" t="inlineStr">
        <is>
          <t>لا</t>
        </is>
      </c>
      <c r="I36" s="5" t="inlineStr">
        <is>
          <t>—</t>
        </is>
      </c>
      <c r="J36" s="6" t="inlineStr">
        <is>
          <t>لا</t>
        </is>
      </c>
      <c r="K36" s="6" t="inlineStr">
        <is>
          <t>لا</t>
        </is>
      </c>
      <c r="L36" s="6" t="inlineStr">
        <is>
          <t>لا</t>
        </is>
      </c>
      <c r="M36" s="6" t="inlineStr">
        <is>
          <t>لا</t>
        </is>
      </c>
      <c r="N36" s="6" t="inlineStr">
        <is>
          <t>لا</t>
        </is>
      </c>
      <c r="O36" s="6" t="inlineStr">
        <is>
          <t>لا</t>
        </is>
      </c>
      <c r="P36" s="7" t="n">
        <v>39865</v>
      </c>
      <c r="Q36" s="7" t="n">
        <v>39865</v>
      </c>
      <c r="R36" s="7" t="n">
        <v>42865</v>
      </c>
      <c r="S36" s="6" t="n">
        <v>3</v>
      </c>
      <c r="T36" s="5" t="inlineStr">
        <is>
          <t>فرع جدة، معرض المحركات الجديد</t>
        </is>
      </c>
      <c r="U36" s="9">
        <f>IF('بحث سريع'!$B$3="",TRUE,P36&lt;='بحث سريع'!$B$3)</f>
        <v/>
      </c>
      <c r="V36" s="9">
        <f>IF('بحث سريع'!$B$4="الكل",TRUE,IF('بحث سريع'!$B$4="شبابي",J36="نعم",IF('بحث سريع'!$B$4="عائلي",K36="نعم",IF('بحث سريع'!$B$4="رياضي",L36="نعم",IF('بحث سريع'!$B$4="اقتصادي",M36="نعم",IF('بحث سريع'!$B$4="فاخم",N36="نعم",IF('بحث سريع'!$B$4="عملي",O36="نعم",FALSE)))))))</f>
        <v/>
      </c>
      <c r="W36" s="9">
        <f>IF('بحث سريع'!$B$5="الكل",TRUE,IF('بحث سريع'!$B$5="نعم",H36="نعم",H36="لا"))</f>
        <v/>
      </c>
      <c r="X36" s="9">
        <f>IF('بحث سريع'!$B$6="الكل",TRUE,A36='بحث سريع'!$B$6)</f>
        <v/>
      </c>
      <c r="Y36" s="9">
        <f>IF('بحث سريع'!$B$7="الكل",TRUE,E36='بحث سريع'!$B$7)</f>
        <v/>
      </c>
      <c r="Z36" s="9">
        <f>IF('بحث سريع'!$B$8="",TRUE,ISNUMBER(SEARCH('بحث سريع'!$B$8,A36&amp;" "&amp;B36&amp;" "&amp;C36)))</f>
        <v/>
      </c>
      <c r="AA36" s="9">
        <f>AND(U36:Z36)</f>
        <v/>
      </c>
    </row>
    <row r="37">
      <c r="A37" s="5" t="inlineStr">
        <is>
          <t>Kia (NMC)</t>
        </is>
      </c>
      <c r="B37" s="5" t="inlineStr">
        <is>
          <t>K52.5L</t>
        </is>
      </c>
      <c r="C37" s="5" t="inlineStr">
        <is>
          <t>Gl</t>
        </is>
      </c>
      <c r="D37" s="6" t="n">
        <v>2026</v>
      </c>
      <c r="E37" s="6" t="inlineStr">
        <is>
          <t>أوتوماتيك</t>
        </is>
      </c>
      <c r="F37" s="6" t="n">
        <v>2.5</v>
      </c>
      <c r="G37" s="6" t="inlineStr">
        <is>
          <t>قماش</t>
        </is>
      </c>
      <c r="H37" s="6" t="inlineStr">
        <is>
          <t>لا</t>
        </is>
      </c>
      <c r="I37" s="5" t="inlineStr">
        <is>
          <t>فاخم</t>
        </is>
      </c>
      <c r="J37" s="6" t="inlineStr">
        <is>
          <t>لا</t>
        </is>
      </c>
      <c r="K37" s="6" t="inlineStr">
        <is>
          <t>لا</t>
        </is>
      </c>
      <c r="L37" s="6" t="inlineStr">
        <is>
          <t>لا</t>
        </is>
      </c>
      <c r="M37" s="6" t="inlineStr">
        <is>
          <t>لا</t>
        </is>
      </c>
      <c r="N37" s="6" t="inlineStr">
        <is>
          <t>نعم</t>
        </is>
      </c>
      <c r="O37" s="6" t="inlineStr">
        <is>
          <t>لا</t>
        </is>
      </c>
      <c r="P37" s="7" t="n">
        <v>100850</v>
      </c>
      <c r="Q37" s="7" t="n">
        <v>101425</v>
      </c>
      <c r="R37" s="7" t="n">
        <v>103850</v>
      </c>
      <c r="S37" s="6" t="n">
        <v>8</v>
      </c>
      <c r="T37" s="5" t="inlineStr">
        <is>
          <t>شركة، فرع الدمام، فرع الرياض، فرع جدة</t>
        </is>
      </c>
      <c r="U37" s="9">
        <f>IF('بحث سريع'!$B$3="",TRUE,P37&lt;='بحث سريع'!$B$3)</f>
        <v/>
      </c>
      <c r="V37" s="9">
        <f>IF('بحث سريع'!$B$4="الكل",TRUE,IF('بحث سريع'!$B$4="شبابي",J37="نعم",IF('بحث سريع'!$B$4="عائلي",K37="نعم",IF('بحث سريع'!$B$4="رياضي",L37="نعم",IF('بحث سريع'!$B$4="اقتصادي",M37="نعم",IF('بحث سريع'!$B$4="فاخم",N37="نعم",IF('بحث سريع'!$B$4="عملي",O37="نعم",FALSE)))))))</f>
        <v/>
      </c>
      <c r="W37" s="9">
        <f>IF('بحث سريع'!$B$5="الكل",TRUE,IF('بحث سريع'!$B$5="نعم",H37="نعم",H37="لا"))</f>
        <v/>
      </c>
      <c r="X37" s="9">
        <f>IF('بحث سريع'!$B$6="الكل",TRUE,A37='بحث سريع'!$B$6)</f>
        <v/>
      </c>
      <c r="Y37" s="9">
        <f>IF('بحث سريع'!$B$7="الكل",TRUE,E37='بحث سريع'!$B$7)</f>
        <v/>
      </c>
      <c r="Z37" s="9">
        <f>IF('بحث سريع'!$B$8="",TRUE,ISNUMBER(SEARCH('بحث سريع'!$B$8,A37&amp;" "&amp;B37&amp;" "&amp;C37)))</f>
        <v/>
      </c>
      <c r="AA37" s="9">
        <f>AND(U37:Z37)</f>
        <v/>
      </c>
    </row>
    <row r="38">
      <c r="A38" s="5" t="inlineStr">
        <is>
          <t>Jetour</t>
        </is>
      </c>
      <c r="B38" s="5" t="inlineStr">
        <is>
          <t>X90 Plus 1.6T</t>
        </is>
      </c>
      <c r="C38" s="5" t="inlineStr">
        <is>
          <t>Luxury</t>
        </is>
      </c>
      <c r="D38" s="6" t="n">
        <v>2025</v>
      </c>
      <c r="E38" s="6" t="inlineStr">
        <is>
          <t>أوتوماتيك</t>
        </is>
      </c>
      <c r="F38" s="6" t="n">
        <v>1.6</v>
      </c>
      <c r="G38" s="6" t="inlineStr">
        <is>
          <t>جلد</t>
        </is>
      </c>
      <c r="H38" s="6" t="inlineStr">
        <is>
          <t>نعم</t>
        </is>
      </c>
      <c r="I38" s="5" t="inlineStr">
        <is>
          <t>عائلي، فاخم</t>
        </is>
      </c>
      <c r="J38" s="6" t="inlineStr">
        <is>
          <t>لا</t>
        </is>
      </c>
      <c r="K38" s="6" t="inlineStr">
        <is>
          <t>نعم</t>
        </is>
      </c>
      <c r="L38" s="6" t="inlineStr">
        <is>
          <t>لا</t>
        </is>
      </c>
      <c r="M38" s="6" t="inlineStr">
        <is>
          <t>لا</t>
        </is>
      </c>
      <c r="N38" s="6" t="inlineStr">
        <is>
          <t>نعم</t>
        </is>
      </c>
      <c r="O38" s="6" t="inlineStr">
        <is>
          <t>لا</t>
        </is>
      </c>
      <c r="P38" s="7" t="n">
        <v>101486</v>
      </c>
      <c r="Q38" s="7" t="n">
        <v>101486</v>
      </c>
      <c r="R38" s="7" t="n">
        <v>104486</v>
      </c>
      <c r="S38" s="6" t="n">
        <v>1</v>
      </c>
      <c r="T38" s="5" t="inlineStr">
        <is>
          <t>فرع الدمام</t>
        </is>
      </c>
      <c r="U38" s="9">
        <f>IF('بحث سريع'!$B$3="",TRUE,P38&lt;='بحث سريع'!$B$3)</f>
        <v/>
      </c>
      <c r="V38" s="9">
        <f>IF('بحث سريع'!$B$4="الكل",TRUE,IF('بحث سريع'!$B$4="شبابي",J38="نعم",IF('بحث سريع'!$B$4="عائلي",K38="نعم",IF('بحث سريع'!$B$4="رياضي",L38="نعم",IF('بحث سريع'!$B$4="اقتصادي",M38="نعم",IF('بحث سريع'!$B$4="فاخم",N38="نعم",IF('بحث سريع'!$B$4="عملي",O38="نعم",FALSE)))))))</f>
        <v/>
      </c>
      <c r="W38" s="9">
        <f>IF('بحث سريع'!$B$5="الكل",TRUE,IF('بحث سريع'!$B$5="نعم",H38="نعم",H38="لا"))</f>
        <v/>
      </c>
      <c r="X38" s="9">
        <f>IF('بحث سريع'!$B$6="الكل",TRUE,A38='بحث سريع'!$B$6)</f>
        <v/>
      </c>
      <c r="Y38" s="9">
        <f>IF('بحث سريع'!$B$7="الكل",TRUE,E38='بحث سريع'!$B$7)</f>
        <v/>
      </c>
      <c r="Z38" s="9">
        <f>IF('بحث سريع'!$B$8="",TRUE,ISNUMBER(SEARCH('بحث سريع'!$B$8,A38&amp;" "&amp;B38&amp;" "&amp;C38)))</f>
        <v/>
      </c>
      <c r="AA38" s="9">
        <f>AND(U38:Z38)</f>
        <v/>
      </c>
    </row>
    <row r="39">
      <c r="A39" s="5" t="inlineStr">
        <is>
          <t>Hyundai</t>
        </is>
      </c>
      <c r="B39" s="5" t="inlineStr">
        <is>
          <t>AZERA 3.5</t>
        </is>
      </c>
      <c r="C39" s="5" t="inlineStr">
        <is>
          <t>Classic</t>
        </is>
      </c>
      <c r="D39" s="6" t="n">
        <v>2026</v>
      </c>
      <c r="E39" s="6" t="inlineStr">
        <is>
          <t>أوتوماتيك</t>
        </is>
      </c>
      <c r="F39" s="6" t="n">
        <v>3.5</v>
      </c>
      <c r="G39" s="6" t="inlineStr">
        <is>
          <t>جلد</t>
        </is>
      </c>
      <c r="H39" s="6" t="inlineStr">
        <is>
          <t>لا</t>
        </is>
      </c>
      <c r="I39" s="5" t="inlineStr">
        <is>
          <t>فاخم</t>
        </is>
      </c>
      <c r="J39" s="6" t="inlineStr">
        <is>
          <t>لا</t>
        </is>
      </c>
      <c r="K39" s="6" t="inlineStr">
        <is>
          <t>لا</t>
        </is>
      </c>
      <c r="L39" s="6" t="inlineStr">
        <is>
          <t>لا</t>
        </is>
      </c>
      <c r="M39" s="6" t="inlineStr">
        <is>
          <t>لا</t>
        </is>
      </c>
      <c r="N39" s="6" t="inlineStr">
        <is>
          <t>نعم</t>
        </is>
      </c>
      <c r="O39" s="6" t="inlineStr">
        <is>
          <t>لا</t>
        </is>
      </c>
      <c r="P39" s="7" t="n">
        <v>138881</v>
      </c>
      <c r="Q39" s="7" t="n">
        <v>138881</v>
      </c>
      <c r="R39" s="7" t="n">
        <v>141881</v>
      </c>
      <c r="S39" s="6" t="n">
        <v>1</v>
      </c>
      <c r="T39" s="5" t="inlineStr">
        <is>
          <t>فرع جدة</t>
        </is>
      </c>
      <c r="U39" s="9">
        <f>IF('بحث سريع'!$B$3="",TRUE,P39&lt;='بحث سريع'!$B$3)</f>
        <v/>
      </c>
      <c r="V39" s="9">
        <f>IF('بحث سريع'!$B$4="الكل",TRUE,IF('بحث سريع'!$B$4="شبابي",J39="نعم",IF('بحث سريع'!$B$4="عائلي",K39="نعم",IF('بحث سريع'!$B$4="رياضي",L39="نعم",IF('بحث سريع'!$B$4="اقتصادي",M39="نعم",IF('بحث سريع'!$B$4="فاخم",N39="نعم",IF('بحث سريع'!$B$4="عملي",O39="نعم",FALSE)))))))</f>
        <v/>
      </c>
      <c r="W39" s="9">
        <f>IF('بحث سريع'!$B$5="الكل",TRUE,IF('بحث سريع'!$B$5="نعم",H39="نعم",H39="لا"))</f>
        <v/>
      </c>
      <c r="X39" s="9">
        <f>IF('بحث سريع'!$B$6="الكل",TRUE,A39='بحث سريع'!$B$6)</f>
        <v/>
      </c>
      <c r="Y39" s="9">
        <f>IF('بحث سريع'!$B$7="الكل",TRUE,E39='بحث سريع'!$B$7)</f>
        <v/>
      </c>
      <c r="Z39" s="9">
        <f>IF('بحث سريع'!$B$8="",TRUE,ISNUMBER(SEARCH('بحث سريع'!$B$8,A39&amp;" "&amp;B39&amp;" "&amp;C39)))</f>
        <v/>
      </c>
      <c r="AA39" s="9">
        <f>AND(U39:Z39)</f>
        <v/>
      </c>
    </row>
    <row r="40">
      <c r="A40" s="5" t="inlineStr">
        <is>
          <t>Toyota</t>
        </is>
      </c>
      <c r="B40" s="5" t="inlineStr">
        <is>
          <t>كامرى</t>
        </is>
      </c>
      <c r="C40" s="5" t="inlineStr">
        <is>
          <t>Standard</t>
        </is>
      </c>
      <c r="D40" s="6" t="n">
        <v>2025</v>
      </c>
      <c r="E40" s="6" t="inlineStr">
        <is>
          <t>أوتوماتيك</t>
        </is>
      </c>
      <c r="F40" s="6" t="n">
        <v>2</v>
      </c>
      <c r="G40" s="6" t="inlineStr">
        <is>
          <t>قماش</t>
        </is>
      </c>
      <c r="H40" s="6" t="inlineStr">
        <is>
          <t>لا</t>
        </is>
      </c>
      <c r="I40" s="5" t="inlineStr">
        <is>
          <t>—</t>
        </is>
      </c>
      <c r="J40" s="6" t="inlineStr">
        <is>
          <t>لا</t>
        </is>
      </c>
      <c r="K40" s="6" t="inlineStr">
        <is>
          <t>لا</t>
        </is>
      </c>
      <c r="L40" s="6" t="inlineStr">
        <is>
          <t>لا</t>
        </is>
      </c>
      <c r="M40" s="6" t="inlineStr">
        <is>
          <t>لا</t>
        </is>
      </c>
      <c r="N40" s="6" t="inlineStr">
        <is>
          <t>لا</t>
        </is>
      </c>
      <c r="O40" s="6" t="inlineStr">
        <is>
          <t>لا</t>
        </is>
      </c>
      <c r="P40" s="7" t="n">
        <v>125000</v>
      </c>
      <c r="Q40" s="7" t="n">
        <v>125000</v>
      </c>
      <c r="R40" s="7" t="n">
        <v>128000</v>
      </c>
      <c r="S40" s="6" t="n">
        <v>1</v>
      </c>
      <c r="T40" s="5" t="inlineStr">
        <is>
          <t>فرع الرياض</t>
        </is>
      </c>
      <c r="U40" s="9">
        <f>IF('بحث سريع'!$B$3="",TRUE,P40&lt;='بحث سريع'!$B$3)</f>
        <v/>
      </c>
      <c r="V40" s="9">
        <f>IF('بحث سريع'!$B$4="الكل",TRUE,IF('بحث سريع'!$B$4="شبابي",J40="نعم",IF('بحث سريع'!$B$4="عائلي",K40="نعم",IF('بحث سريع'!$B$4="رياضي",L40="نعم",IF('بحث سريع'!$B$4="اقتصادي",M40="نعم",IF('بحث سريع'!$B$4="فاخم",N40="نعم",IF('بحث سريع'!$B$4="عملي",O40="نعم",FALSE)))))))</f>
        <v/>
      </c>
      <c r="W40" s="9">
        <f>IF('بحث سريع'!$B$5="الكل",TRUE,IF('بحث سريع'!$B$5="نعم",H40="نعم",H40="لا"))</f>
        <v/>
      </c>
      <c r="X40" s="9">
        <f>IF('بحث سريع'!$B$6="الكل",TRUE,A40='بحث سريع'!$B$6)</f>
        <v/>
      </c>
      <c r="Y40" s="9">
        <f>IF('بحث سريع'!$B$7="الكل",TRUE,E40='بحث سريع'!$B$7)</f>
        <v/>
      </c>
      <c r="Z40" s="9">
        <f>IF('بحث سريع'!$B$8="",TRUE,ISNUMBER(SEARCH('بحث سريع'!$B$8,A40&amp;" "&amp;B40&amp;" "&amp;C40)))</f>
        <v/>
      </c>
      <c r="AA40" s="9">
        <f>AND(U40:Z40)</f>
        <v/>
      </c>
    </row>
    <row r="41">
      <c r="A41" s="5" t="inlineStr">
        <is>
          <t>Suzuki</t>
        </is>
      </c>
      <c r="B41" s="5" t="inlineStr">
        <is>
          <t>Eeco 1.2L Cargo</t>
        </is>
      </c>
      <c r="C41" s="5" t="inlineStr">
        <is>
          <t>Cargo</t>
        </is>
      </c>
      <c r="D41" s="6" t="n">
        <v>2026</v>
      </c>
      <c r="E41" s="6" t="inlineStr">
        <is>
          <t>يدوي</t>
        </is>
      </c>
      <c r="F41" s="6" t="n">
        <v>1.2</v>
      </c>
      <c r="G41" s="6" t="inlineStr">
        <is>
          <t>قماش</t>
        </is>
      </c>
      <c r="H41" s="6" t="inlineStr">
        <is>
          <t>لا</t>
        </is>
      </c>
      <c r="I41" s="5" t="inlineStr">
        <is>
          <t>اقتصادي، عملي</t>
        </is>
      </c>
      <c r="J41" s="6" t="inlineStr">
        <is>
          <t>لا</t>
        </is>
      </c>
      <c r="K41" s="6" t="inlineStr">
        <is>
          <t>لا</t>
        </is>
      </c>
      <c r="L41" s="6" t="inlineStr">
        <is>
          <t>لا</t>
        </is>
      </c>
      <c r="M41" s="6" t="inlineStr">
        <is>
          <t>نعم</t>
        </is>
      </c>
      <c r="N41" s="6" t="inlineStr">
        <is>
          <t>لا</t>
        </is>
      </c>
      <c r="O41" s="6" t="inlineStr">
        <is>
          <t>نعم</t>
        </is>
      </c>
      <c r="P41" s="7" t="n">
        <v>39900</v>
      </c>
      <c r="Q41" s="7" t="n">
        <v>39900</v>
      </c>
      <c r="R41" s="7" t="n">
        <v>42900</v>
      </c>
      <c r="S41" s="6" t="n">
        <v>11</v>
      </c>
      <c r="T41" s="5" t="inlineStr">
        <is>
          <t>شركة، فرع الدمام، فرع الرياض، فرع جدة</t>
        </is>
      </c>
      <c r="U41" s="9">
        <f>IF('بحث سريع'!$B$3="",TRUE,P41&lt;='بحث سريع'!$B$3)</f>
        <v/>
      </c>
      <c r="V41" s="9">
        <f>IF('بحث سريع'!$B$4="الكل",TRUE,IF('بحث سريع'!$B$4="شبابي",J41="نعم",IF('بحث سريع'!$B$4="عائلي",K41="نعم",IF('بحث سريع'!$B$4="رياضي",L41="نعم",IF('بحث سريع'!$B$4="اقتصادي",M41="نعم",IF('بحث سريع'!$B$4="فاخم",N41="نعم",IF('بحث سريع'!$B$4="عملي",O41="نعم",FALSE)))))))</f>
        <v/>
      </c>
      <c r="W41" s="9">
        <f>IF('بحث سريع'!$B$5="الكل",TRUE,IF('بحث سريع'!$B$5="نعم",H41="نعم",H41="لا"))</f>
        <v/>
      </c>
      <c r="X41" s="9">
        <f>IF('بحث سريع'!$B$6="الكل",TRUE,A41='بحث سريع'!$B$6)</f>
        <v/>
      </c>
      <c r="Y41" s="9">
        <f>IF('بحث سريع'!$B$7="الكل",TRUE,E41='بحث سريع'!$B$7)</f>
        <v/>
      </c>
      <c r="Z41" s="9">
        <f>IF('بحث سريع'!$B$8="",TRUE,ISNUMBER(SEARCH('بحث سريع'!$B$8,A41&amp;" "&amp;B41&amp;" "&amp;C41)))</f>
        <v/>
      </c>
      <c r="AA41" s="9">
        <f>AND(U41:Z41)</f>
        <v/>
      </c>
    </row>
    <row r="42">
      <c r="A42" s="5" t="inlineStr">
        <is>
          <t>Nissan</t>
        </is>
      </c>
      <c r="B42" s="5" t="inlineStr">
        <is>
          <t>Xtrail  4Wd 3R</t>
        </is>
      </c>
      <c r="C42" s="5" t="inlineStr">
        <is>
          <t>S</t>
        </is>
      </c>
      <c r="D42" s="6" t="n">
        <v>2026</v>
      </c>
      <c r="E42" s="6" t="inlineStr">
        <is>
          <t>أوتوماتيك</t>
        </is>
      </c>
      <c r="F42" s="6" t="n">
        <v>2.5</v>
      </c>
      <c r="G42" s="6" t="inlineStr">
        <is>
          <t>قماش</t>
        </is>
      </c>
      <c r="H42" s="6" t="inlineStr">
        <is>
          <t>لا</t>
        </is>
      </c>
      <c r="I42" s="5" t="inlineStr">
        <is>
          <t>عائلي، عملي</t>
        </is>
      </c>
      <c r="J42" s="6" t="inlineStr">
        <is>
          <t>لا</t>
        </is>
      </c>
      <c r="K42" s="6" t="inlineStr">
        <is>
          <t>نعم</t>
        </is>
      </c>
      <c r="L42" s="6" t="inlineStr">
        <is>
          <t>لا</t>
        </is>
      </c>
      <c r="M42" s="6" t="inlineStr">
        <is>
          <t>لا</t>
        </is>
      </c>
      <c r="N42" s="6" t="inlineStr">
        <is>
          <t>لا</t>
        </is>
      </c>
      <c r="O42" s="6" t="inlineStr">
        <is>
          <t>نعم</t>
        </is>
      </c>
      <c r="P42" s="7" t="n">
        <v>110050</v>
      </c>
      <c r="Q42" s="7" t="n">
        <v>110050</v>
      </c>
      <c r="R42" s="7" t="n">
        <v>113050</v>
      </c>
      <c r="S42" s="6" t="n">
        <v>7</v>
      </c>
      <c r="T42" s="5" t="inlineStr">
        <is>
          <t>شركة، فرع الدمام، فرع جدة</t>
        </is>
      </c>
      <c r="U42" s="9">
        <f>IF('بحث سريع'!$B$3="",TRUE,P42&lt;='بحث سريع'!$B$3)</f>
        <v/>
      </c>
      <c r="V42" s="9">
        <f>IF('بحث سريع'!$B$4="الكل",TRUE,IF('بحث سريع'!$B$4="شبابي",J42="نعم",IF('بحث سريع'!$B$4="عائلي",K42="نعم",IF('بحث سريع'!$B$4="رياضي",L42="نعم",IF('بحث سريع'!$B$4="اقتصادي",M42="نعم",IF('بحث سريع'!$B$4="فاخم",N42="نعم",IF('بحث سريع'!$B$4="عملي",O42="نعم",FALSE)))))))</f>
        <v/>
      </c>
      <c r="W42" s="9">
        <f>IF('بحث سريع'!$B$5="الكل",TRUE,IF('بحث سريع'!$B$5="نعم",H42="نعم",H42="لا"))</f>
        <v/>
      </c>
      <c r="X42" s="9">
        <f>IF('بحث سريع'!$B$6="الكل",TRUE,A42='بحث سريع'!$B$6)</f>
        <v/>
      </c>
      <c r="Y42" s="9">
        <f>IF('بحث سريع'!$B$7="الكل",TRUE,E42='بحث سريع'!$B$7)</f>
        <v/>
      </c>
      <c r="Z42" s="9">
        <f>IF('بحث سريع'!$B$8="",TRUE,ISNUMBER(SEARCH('بحث سريع'!$B$8,A42&amp;" "&amp;B42&amp;" "&amp;C42)))</f>
        <v/>
      </c>
      <c r="AA42" s="9">
        <f>AND(U42:Z42)</f>
        <v/>
      </c>
    </row>
    <row r="43">
      <c r="A43" s="5" t="inlineStr">
        <is>
          <t>Nissan</t>
        </is>
      </c>
      <c r="B43" s="5" t="inlineStr">
        <is>
          <t>Xtrail  4Wd 2R</t>
        </is>
      </c>
      <c r="C43" s="5" t="inlineStr">
        <is>
          <t>S</t>
        </is>
      </c>
      <c r="D43" s="6" t="n">
        <v>2026</v>
      </c>
      <c r="E43" s="6" t="inlineStr">
        <is>
          <t>أوتوماتيك</t>
        </is>
      </c>
      <c r="F43" s="6" t="n">
        <v>2.5</v>
      </c>
      <c r="G43" s="6" t="inlineStr">
        <is>
          <t>قماش</t>
        </is>
      </c>
      <c r="H43" s="6" t="inlineStr">
        <is>
          <t>لا</t>
        </is>
      </c>
      <c r="I43" s="5" t="inlineStr">
        <is>
          <t>عملي</t>
        </is>
      </c>
      <c r="J43" s="6" t="inlineStr">
        <is>
          <t>لا</t>
        </is>
      </c>
      <c r="K43" s="6" t="inlineStr">
        <is>
          <t>لا</t>
        </is>
      </c>
      <c r="L43" s="6" t="inlineStr">
        <is>
          <t>لا</t>
        </is>
      </c>
      <c r="M43" s="6" t="inlineStr">
        <is>
          <t>لا</t>
        </is>
      </c>
      <c r="N43" s="6" t="inlineStr">
        <is>
          <t>لا</t>
        </is>
      </c>
      <c r="O43" s="6" t="inlineStr">
        <is>
          <t>نعم</t>
        </is>
      </c>
      <c r="P43" s="7" t="n">
        <v>104955</v>
      </c>
      <c r="Q43" s="7" t="n">
        <v>104955</v>
      </c>
      <c r="R43" s="7" t="n">
        <v>107955</v>
      </c>
      <c r="S43" s="6" t="n">
        <v>20</v>
      </c>
      <c r="T43" s="5" t="inlineStr">
        <is>
          <t>شركة، فرع جدة</t>
        </is>
      </c>
      <c r="U43" s="9">
        <f>IF('بحث سريع'!$B$3="",TRUE,P43&lt;='بحث سريع'!$B$3)</f>
        <v/>
      </c>
      <c r="V43" s="9">
        <f>IF('بحث سريع'!$B$4="الكل",TRUE,IF('بحث سريع'!$B$4="شبابي",J43="نعم",IF('بحث سريع'!$B$4="عائلي",K43="نعم",IF('بحث سريع'!$B$4="رياضي",L43="نعم",IF('بحث سريع'!$B$4="اقتصادي",M43="نعم",IF('بحث سريع'!$B$4="فاخم",N43="نعم",IF('بحث سريع'!$B$4="عملي",O43="نعم",FALSE)))))))</f>
        <v/>
      </c>
      <c r="W43" s="9">
        <f>IF('بحث سريع'!$B$5="الكل",TRUE,IF('بحث سريع'!$B$5="نعم",H43="نعم",H43="لا"))</f>
        <v/>
      </c>
      <c r="X43" s="9">
        <f>IF('بحث سريع'!$B$6="الكل",TRUE,A43='بحث سريع'!$B$6)</f>
        <v/>
      </c>
      <c r="Y43" s="9">
        <f>IF('بحث سريع'!$B$7="الكل",TRUE,E43='بحث سريع'!$B$7)</f>
        <v/>
      </c>
      <c r="Z43" s="9">
        <f>IF('بحث سريع'!$B$8="",TRUE,ISNUMBER(SEARCH('بحث سريع'!$B$8,A43&amp;" "&amp;B43&amp;" "&amp;C43)))</f>
        <v/>
      </c>
      <c r="AA43" s="9">
        <f>AND(U43:Z43)</f>
        <v/>
      </c>
    </row>
    <row r="44">
      <c r="A44" s="5" t="inlineStr">
        <is>
          <t>Nissan</t>
        </is>
      </c>
      <c r="B44" s="5" t="inlineStr">
        <is>
          <t>Xtrail  2Wd 3R</t>
        </is>
      </c>
      <c r="C44" s="5" t="inlineStr">
        <is>
          <t>S</t>
        </is>
      </c>
      <c r="D44" s="6" t="n">
        <v>2026</v>
      </c>
      <c r="E44" s="6" t="inlineStr">
        <is>
          <t>أوتوماتيك</t>
        </is>
      </c>
      <c r="F44" s="6" t="n">
        <v>2.5</v>
      </c>
      <c r="G44" s="6" t="inlineStr">
        <is>
          <t>قماش</t>
        </is>
      </c>
      <c r="H44" s="6" t="inlineStr">
        <is>
          <t>لا</t>
        </is>
      </c>
      <c r="I44" s="5" t="inlineStr">
        <is>
          <t>عائلي، عملي</t>
        </is>
      </c>
      <c r="J44" s="6" t="inlineStr">
        <is>
          <t>لا</t>
        </is>
      </c>
      <c r="K44" s="6" t="inlineStr">
        <is>
          <t>نعم</t>
        </is>
      </c>
      <c r="L44" s="6" t="inlineStr">
        <is>
          <t>لا</t>
        </is>
      </c>
      <c r="M44" s="6" t="inlineStr">
        <is>
          <t>لا</t>
        </is>
      </c>
      <c r="N44" s="6" t="inlineStr">
        <is>
          <t>لا</t>
        </is>
      </c>
      <c r="O44" s="6" t="inlineStr">
        <is>
          <t>نعم</t>
        </is>
      </c>
      <c r="P44" s="7" t="n">
        <v>98390</v>
      </c>
      <c r="Q44" s="7" t="n">
        <v>99700</v>
      </c>
      <c r="R44" s="7" t="n">
        <v>101390</v>
      </c>
      <c r="S44" s="6" t="n">
        <v>17</v>
      </c>
      <c r="T44" s="5" t="inlineStr">
        <is>
          <t>الى فرع الرياض، شركة، فرع الدمام، فرع الرياض، فرع جدة، معرض الموتر العريق</t>
        </is>
      </c>
      <c r="U44" s="9">
        <f>IF('بحث سريع'!$B$3="",TRUE,P44&lt;='بحث سريع'!$B$3)</f>
        <v/>
      </c>
      <c r="V44" s="9">
        <f>IF('بحث سريع'!$B$4="الكل",TRUE,IF('بحث سريع'!$B$4="شبابي",J44="نعم",IF('بحث سريع'!$B$4="عائلي",K44="نعم",IF('بحث سريع'!$B$4="رياضي",L44="نعم",IF('بحث سريع'!$B$4="اقتصادي",M44="نعم",IF('بحث سريع'!$B$4="فاخم",N44="نعم",IF('بحث سريع'!$B$4="عملي",O44="نعم",FALSE)))))))</f>
        <v/>
      </c>
      <c r="W44" s="9">
        <f>IF('بحث سريع'!$B$5="الكل",TRUE,IF('بحث سريع'!$B$5="نعم",H44="نعم",H44="لا"))</f>
        <v/>
      </c>
      <c r="X44" s="9">
        <f>IF('بحث سريع'!$B$6="الكل",TRUE,A44='بحث سريع'!$B$6)</f>
        <v/>
      </c>
      <c r="Y44" s="9">
        <f>IF('بحث سريع'!$B$7="الكل",TRUE,E44='بحث سريع'!$B$7)</f>
        <v/>
      </c>
      <c r="Z44" s="9">
        <f>IF('بحث سريع'!$B$8="",TRUE,ISNUMBER(SEARCH('بحث سريع'!$B$8,A44&amp;" "&amp;B44&amp;" "&amp;C44)))</f>
        <v/>
      </c>
      <c r="AA44" s="9">
        <f>AND(U44:Z44)</f>
        <v/>
      </c>
    </row>
    <row r="45">
      <c r="A45" s="5" t="inlineStr">
        <is>
          <t>Nissan</t>
        </is>
      </c>
      <c r="B45" s="5" t="inlineStr">
        <is>
          <t>Xtrail  2Wd 2R</t>
        </is>
      </c>
      <c r="C45" s="5" t="inlineStr">
        <is>
          <t>S</t>
        </is>
      </c>
      <c r="D45" s="6" t="n">
        <v>2026</v>
      </c>
      <c r="E45" s="6" t="inlineStr">
        <is>
          <t>أوتوماتيك</t>
        </is>
      </c>
      <c r="F45" s="6" t="n">
        <v>2.5</v>
      </c>
      <c r="G45" s="6" t="inlineStr">
        <is>
          <t>قماش</t>
        </is>
      </c>
      <c r="H45" s="6" t="inlineStr">
        <is>
          <t>لا</t>
        </is>
      </c>
      <c r="I45" s="5" t="inlineStr">
        <is>
          <t>عملي</t>
        </is>
      </c>
      <c r="J45" s="6" t="inlineStr">
        <is>
          <t>لا</t>
        </is>
      </c>
      <c r="K45" s="6" t="inlineStr">
        <is>
          <t>لا</t>
        </is>
      </c>
      <c r="L45" s="6" t="inlineStr">
        <is>
          <t>لا</t>
        </is>
      </c>
      <c r="M45" s="6" t="inlineStr">
        <is>
          <t>لا</t>
        </is>
      </c>
      <c r="N45" s="6" t="inlineStr">
        <is>
          <t>لا</t>
        </is>
      </c>
      <c r="O45" s="6" t="inlineStr">
        <is>
          <t>نعم</t>
        </is>
      </c>
      <c r="P45" s="7" t="n">
        <v>95504</v>
      </c>
      <c r="Q45" s="7" t="n">
        <v>96250</v>
      </c>
      <c r="R45" s="7" t="n">
        <v>98504</v>
      </c>
      <c r="S45" s="6" t="n">
        <v>15</v>
      </c>
      <c r="T45" s="5" t="inlineStr">
        <is>
          <t>ار موتورز، الاسطول، طويق، فرع الدمام، فرع الرياض، فرع جدة، معرض المحركات الجديد</t>
        </is>
      </c>
      <c r="U45" s="9">
        <f>IF('بحث سريع'!$B$3="",TRUE,P45&lt;='بحث سريع'!$B$3)</f>
        <v/>
      </c>
      <c r="V45" s="9">
        <f>IF('بحث سريع'!$B$4="الكل",TRUE,IF('بحث سريع'!$B$4="شبابي",J45="نعم",IF('بحث سريع'!$B$4="عائلي",K45="نعم",IF('بحث سريع'!$B$4="رياضي",L45="نعم",IF('بحث سريع'!$B$4="اقتصادي",M45="نعم",IF('بحث سريع'!$B$4="فاخم",N45="نعم",IF('بحث سريع'!$B$4="عملي",O45="نعم",FALSE)))))))</f>
        <v/>
      </c>
      <c r="W45" s="9">
        <f>IF('بحث سريع'!$B$5="الكل",TRUE,IF('بحث سريع'!$B$5="نعم",H45="نعم",H45="لا"))</f>
        <v/>
      </c>
      <c r="X45" s="9">
        <f>IF('بحث سريع'!$B$6="الكل",TRUE,A45='بحث سريع'!$B$6)</f>
        <v/>
      </c>
      <c r="Y45" s="9">
        <f>IF('بحث سريع'!$B$7="الكل",TRUE,E45='بحث سريع'!$B$7)</f>
        <v/>
      </c>
      <c r="Z45" s="9">
        <f>IF('بحث سريع'!$B$8="",TRUE,ISNUMBER(SEARCH('بحث سريع'!$B$8,A45&amp;" "&amp;B45&amp;" "&amp;C45)))</f>
        <v/>
      </c>
      <c r="AA45" s="9">
        <f>AND(U45:Z45)</f>
        <v/>
      </c>
    </row>
    <row r="46">
      <c r="A46" s="5" t="inlineStr">
        <is>
          <t>Nissan</t>
        </is>
      </c>
      <c r="B46" s="5" t="inlineStr">
        <is>
          <t>Patrol V6 3.8L</t>
        </is>
      </c>
      <c r="C46" s="5" t="inlineStr">
        <is>
          <t>Se Platinum</t>
        </is>
      </c>
      <c r="D46" s="6" t="n">
        <v>2026</v>
      </c>
      <c r="E46" s="6" t="inlineStr">
        <is>
          <t>أوتوماتيك</t>
        </is>
      </c>
      <c r="F46" s="6" t="n">
        <v>3.5</v>
      </c>
      <c r="G46" s="6" t="inlineStr">
        <is>
          <t>جلد</t>
        </is>
      </c>
      <c r="H46" s="6" t="inlineStr">
        <is>
          <t>نعم</t>
        </is>
      </c>
      <c r="I46" s="5" t="inlineStr">
        <is>
          <t>عائلي</t>
        </is>
      </c>
      <c r="J46" s="6" t="inlineStr">
        <is>
          <t>لا</t>
        </is>
      </c>
      <c r="K46" s="6" t="inlineStr">
        <is>
          <t>نعم</t>
        </is>
      </c>
      <c r="L46" s="6" t="inlineStr">
        <is>
          <t>لا</t>
        </is>
      </c>
      <c r="M46" s="6" t="inlineStr">
        <is>
          <t>لا</t>
        </is>
      </c>
      <c r="N46" s="6" t="inlineStr">
        <is>
          <t>لا</t>
        </is>
      </c>
      <c r="O46" s="6" t="inlineStr">
        <is>
          <t>لا</t>
        </is>
      </c>
      <c r="P46" s="7" t="n">
        <v>341200</v>
      </c>
      <c r="Q46" s="7" t="n">
        <v>341200</v>
      </c>
      <c r="R46" s="7" t="n">
        <v>344200</v>
      </c>
      <c r="S46" s="6" t="n">
        <v>1</v>
      </c>
      <c r="T46" s="5" t="inlineStr">
        <is>
          <t>شركة</t>
        </is>
      </c>
      <c r="U46" s="9">
        <f>IF('بحث سريع'!$B$3="",TRUE,P46&lt;='بحث سريع'!$B$3)</f>
        <v/>
      </c>
      <c r="V46" s="9">
        <f>IF('بحث سريع'!$B$4="الكل",TRUE,IF('بحث سريع'!$B$4="شبابي",J46="نعم",IF('بحث سريع'!$B$4="عائلي",K46="نعم",IF('بحث سريع'!$B$4="رياضي",L46="نعم",IF('بحث سريع'!$B$4="اقتصادي",M46="نعم",IF('بحث سريع'!$B$4="فاخم",N46="نعم",IF('بحث سريع'!$B$4="عملي",O46="نعم",FALSE)))))))</f>
        <v/>
      </c>
      <c r="W46" s="9">
        <f>IF('بحث سريع'!$B$5="الكل",TRUE,IF('بحث سريع'!$B$5="نعم",H46="نعم",H46="لا"))</f>
        <v/>
      </c>
      <c r="X46" s="9">
        <f>IF('بحث سريع'!$B$6="الكل",TRUE,A46='بحث سريع'!$B$6)</f>
        <v/>
      </c>
      <c r="Y46" s="9">
        <f>IF('بحث سريع'!$B$7="الكل",TRUE,E46='بحث سريع'!$B$7)</f>
        <v/>
      </c>
      <c r="Z46" s="9">
        <f>IF('بحث سريع'!$B$8="",TRUE,ISNUMBER(SEARCH('بحث سريع'!$B$8,A46&amp;" "&amp;B46&amp;" "&amp;C46)))</f>
        <v/>
      </c>
      <c r="AA46" s="9">
        <f>AND(U46:Z46)</f>
        <v/>
      </c>
    </row>
    <row r="47">
      <c r="A47" s="5" t="inlineStr">
        <is>
          <t>Nissan</t>
        </is>
      </c>
      <c r="B47" s="5" t="inlineStr">
        <is>
          <t>Kicks 2.0L Cvt</t>
        </is>
      </c>
      <c r="C47" s="5" t="inlineStr">
        <is>
          <t>Sv+</t>
        </is>
      </c>
      <c r="D47" s="6" t="n">
        <v>2025</v>
      </c>
      <c r="E47" s="6" t="inlineStr">
        <is>
          <t>أوتوماتيك</t>
        </is>
      </c>
      <c r="F47" s="6" t="n">
        <v>2</v>
      </c>
      <c r="G47" s="6" t="inlineStr">
        <is>
          <t>قماش</t>
        </is>
      </c>
      <c r="H47" s="6" t="inlineStr">
        <is>
          <t>لا</t>
        </is>
      </c>
      <c r="I47" s="5" t="inlineStr">
        <is>
          <t>اقتصادي</t>
        </is>
      </c>
      <c r="J47" s="6" t="inlineStr">
        <is>
          <t>لا</t>
        </is>
      </c>
      <c r="K47" s="6" t="inlineStr">
        <is>
          <t>لا</t>
        </is>
      </c>
      <c r="L47" s="6" t="inlineStr">
        <is>
          <t>لا</t>
        </is>
      </c>
      <c r="M47" s="6" t="inlineStr">
        <is>
          <t>نعم</t>
        </is>
      </c>
      <c r="N47" s="6" t="inlineStr">
        <is>
          <t>لا</t>
        </is>
      </c>
      <c r="O47" s="6" t="inlineStr">
        <is>
          <t>لا</t>
        </is>
      </c>
      <c r="P47" s="7" t="n">
        <v>95675</v>
      </c>
      <c r="Q47" s="7" t="n">
        <v>95675</v>
      </c>
      <c r="R47" s="7" t="n">
        <v>98675</v>
      </c>
      <c r="S47" s="6" t="n">
        <v>1</v>
      </c>
      <c r="T47" s="5" t="inlineStr">
        <is>
          <t>فرع جدة</t>
        </is>
      </c>
      <c r="U47" s="9">
        <f>IF('بحث سريع'!$B$3="",TRUE,P47&lt;='بحث سريع'!$B$3)</f>
        <v/>
      </c>
      <c r="V47" s="9">
        <f>IF('بحث سريع'!$B$4="الكل",TRUE,IF('بحث سريع'!$B$4="شبابي",J47="نعم",IF('بحث سريع'!$B$4="عائلي",K47="نعم",IF('بحث سريع'!$B$4="رياضي",L47="نعم",IF('بحث سريع'!$B$4="اقتصادي",M47="نعم",IF('بحث سريع'!$B$4="فاخم",N47="نعم",IF('بحث سريع'!$B$4="عملي",O47="نعم",FALSE)))))))</f>
        <v/>
      </c>
      <c r="W47" s="9">
        <f>IF('بحث سريع'!$B$5="الكل",TRUE,IF('بحث سريع'!$B$5="نعم",H47="نعم",H47="لا"))</f>
        <v/>
      </c>
      <c r="X47" s="9">
        <f>IF('بحث سريع'!$B$6="الكل",TRUE,A47='بحث سريع'!$B$6)</f>
        <v/>
      </c>
      <c r="Y47" s="9">
        <f>IF('بحث سريع'!$B$7="الكل",TRUE,E47='بحث سريع'!$B$7)</f>
        <v/>
      </c>
      <c r="Z47" s="9">
        <f>IF('بحث سريع'!$B$8="",TRUE,ISNUMBER(SEARCH('بحث سريع'!$B$8,A47&amp;" "&amp;B47&amp;" "&amp;C47)))</f>
        <v/>
      </c>
      <c r="AA47" s="9">
        <f>AND(U47:Z47)</f>
        <v/>
      </c>
    </row>
    <row r="48">
      <c r="A48" s="5" t="inlineStr">
        <is>
          <t>Nissan</t>
        </is>
      </c>
      <c r="B48" s="5" t="inlineStr">
        <is>
          <t>Kicks 2.0L Cvt</t>
        </is>
      </c>
      <c r="C48" s="5" t="inlineStr">
        <is>
          <t>S</t>
        </is>
      </c>
      <c r="D48" s="6" t="n">
        <v>2025</v>
      </c>
      <c r="E48" s="6" t="inlineStr">
        <is>
          <t>أوتوماتيك</t>
        </is>
      </c>
      <c r="F48" s="6" t="n">
        <v>2</v>
      </c>
      <c r="G48" s="6" t="inlineStr">
        <is>
          <t>قماش</t>
        </is>
      </c>
      <c r="H48" s="6" t="inlineStr">
        <is>
          <t>لا</t>
        </is>
      </c>
      <c r="I48" s="5" t="inlineStr">
        <is>
          <t>شبابي، اقتصادي</t>
        </is>
      </c>
      <c r="J48" s="6" t="inlineStr">
        <is>
          <t>نعم</t>
        </is>
      </c>
      <c r="K48" s="6" t="inlineStr">
        <is>
          <t>لا</t>
        </is>
      </c>
      <c r="L48" s="6" t="inlineStr">
        <is>
          <t>لا</t>
        </is>
      </c>
      <c r="M48" s="6" t="inlineStr">
        <is>
          <t>نعم</t>
        </is>
      </c>
      <c r="N48" s="6" t="inlineStr">
        <is>
          <t>لا</t>
        </is>
      </c>
      <c r="O48" s="6" t="inlineStr">
        <is>
          <t>لا</t>
        </is>
      </c>
      <c r="P48" s="7" t="n">
        <v>80037</v>
      </c>
      <c r="Q48" s="7" t="n">
        <v>80037</v>
      </c>
      <c r="R48" s="7" t="n">
        <v>83037</v>
      </c>
      <c r="S48" s="6" t="n">
        <v>1</v>
      </c>
      <c r="T48" s="5" t="inlineStr">
        <is>
          <t>فرع جدة</t>
        </is>
      </c>
      <c r="U48" s="9">
        <f>IF('بحث سريع'!$B$3="",TRUE,P48&lt;='بحث سريع'!$B$3)</f>
        <v/>
      </c>
      <c r="V48" s="9">
        <f>IF('بحث سريع'!$B$4="الكل",TRUE,IF('بحث سريع'!$B$4="شبابي",J48="نعم",IF('بحث سريع'!$B$4="عائلي",K48="نعم",IF('بحث سريع'!$B$4="رياضي",L48="نعم",IF('بحث سريع'!$B$4="اقتصادي",M48="نعم",IF('بحث سريع'!$B$4="فاخم",N48="نعم",IF('بحث سريع'!$B$4="عملي",O48="نعم",FALSE)))))))</f>
        <v/>
      </c>
      <c r="W48" s="9">
        <f>IF('بحث سريع'!$B$5="الكل",TRUE,IF('بحث سريع'!$B$5="نعم",H48="نعم",H48="لا"))</f>
        <v/>
      </c>
      <c r="X48" s="9">
        <f>IF('بحث سريع'!$B$6="الكل",TRUE,A48='بحث سريع'!$B$6)</f>
        <v/>
      </c>
      <c r="Y48" s="9">
        <f>IF('بحث سريع'!$B$7="الكل",TRUE,E48='بحث سريع'!$B$7)</f>
        <v/>
      </c>
      <c r="Z48" s="9">
        <f>IF('بحث سريع'!$B$8="",TRUE,ISNUMBER(SEARCH('بحث سريع'!$B$8,A48&amp;" "&amp;B48&amp;" "&amp;C48)))</f>
        <v/>
      </c>
      <c r="AA48" s="9">
        <f>AND(U48:Z48)</f>
        <v/>
      </c>
    </row>
    <row r="49">
      <c r="A49" s="5" t="inlineStr">
        <is>
          <t>Nissan</t>
        </is>
      </c>
      <c r="B49" s="5" t="inlineStr">
        <is>
          <t>ALTIMA 2.5L</t>
        </is>
      </c>
      <c r="C49" s="5" t="inlineStr">
        <is>
          <t>Sv</t>
        </is>
      </c>
      <c r="D49" s="6" t="n">
        <v>2026</v>
      </c>
      <c r="E49" s="6" t="inlineStr">
        <is>
          <t>أوتوماتيك</t>
        </is>
      </c>
      <c r="F49" s="6" t="n">
        <v>2.5</v>
      </c>
      <c r="G49" s="6" t="inlineStr">
        <is>
          <t>قماش</t>
        </is>
      </c>
      <c r="H49" s="6" t="inlineStr">
        <is>
          <t>نعم</t>
        </is>
      </c>
      <c r="I49" s="5" t="inlineStr">
        <is>
          <t>اقتصادي</t>
        </is>
      </c>
      <c r="J49" s="6" t="inlineStr">
        <is>
          <t>لا</t>
        </is>
      </c>
      <c r="K49" s="6" t="inlineStr">
        <is>
          <t>لا</t>
        </is>
      </c>
      <c r="L49" s="6" t="inlineStr">
        <is>
          <t>لا</t>
        </is>
      </c>
      <c r="M49" s="6" t="inlineStr">
        <is>
          <t>نعم</t>
        </is>
      </c>
      <c r="N49" s="6" t="inlineStr">
        <is>
          <t>لا</t>
        </is>
      </c>
      <c r="O49" s="6" t="inlineStr">
        <is>
          <t>لا</t>
        </is>
      </c>
      <c r="P49" s="7" t="n">
        <v>116950</v>
      </c>
      <c r="Q49" s="7" t="n">
        <v>116950</v>
      </c>
      <c r="R49" s="7" t="n">
        <v>119950</v>
      </c>
      <c r="S49" s="6" t="n">
        <v>6</v>
      </c>
      <c r="T49" s="5" t="inlineStr">
        <is>
          <t>شركة، فرع الدمام، فرع الرياض، فرع جدة</t>
        </is>
      </c>
      <c r="U49" s="9">
        <f>IF('بحث سريع'!$B$3="",TRUE,P49&lt;='بحث سريع'!$B$3)</f>
        <v/>
      </c>
      <c r="V49" s="9">
        <f>IF('بحث سريع'!$B$4="الكل",TRUE,IF('بحث سريع'!$B$4="شبابي",J49="نعم",IF('بحث سريع'!$B$4="عائلي",K49="نعم",IF('بحث سريع'!$B$4="رياضي",L49="نعم",IF('بحث سريع'!$B$4="اقتصادي",M49="نعم",IF('بحث سريع'!$B$4="فاخم",N49="نعم",IF('بحث سريع'!$B$4="عملي",O49="نعم",FALSE)))))))</f>
        <v/>
      </c>
      <c r="W49" s="9">
        <f>IF('بحث سريع'!$B$5="الكل",TRUE,IF('بحث سريع'!$B$5="نعم",H49="نعم",H49="لا"))</f>
        <v/>
      </c>
      <c r="X49" s="9">
        <f>IF('بحث سريع'!$B$6="الكل",TRUE,A49='بحث سريع'!$B$6)</f>
        <v/>
      </c>
      <c r="Y49" s="9">
        <f>IF('بحث سريع'!$B$7="الكل",TRUE,E49='بحث سريع'!$B$7)</f>
        <v/>
      </c>
      <c r="Z49" s="9">
        <f>IF('بحث سريع'!$B$8="",TRUE,ISNUMBER(SEARCH('بحث سريع'!$B$8,A49&amp;" "&amp;B49&amp;" "&amp;C49)))</f>
        <v/>
      </c>
      <c r="AA49" s="9">
        <f>AND(U49:Z49)</f>
        <v/>
      </c>
    </row>
    <row r="50">
      <c r="A50" s="5" t="inlineStr">
        <is>
          <t>Nissan</t>
        </is>
      </c>
      <c r="B50" s="5" t="inlineStr">
        <is>
          <t>ALTIMA 2.5L</t>
        </is>
      </c>
      <c r="C50" s="5" t="inlineStr">
        <is>
          <t>S</t>
        </is>
      </c>
      <c r="D50" s="6" t="n">
        <v>2026</v>
      </c>
      <c r="E50" s="6" t="inlineStr">
        <is>
          <t>أوتوماتيك</t>
        </is>
      </c>
      <c r="F50" s="6" t="n">
        <v>2.5</v>
      </c>
      <c r="G50" s="6" t="inlineStr">
        <is>
          <t>قماش</t>
        </is>
      </c>
      <c r="H50" s="6" t="inlineStr">
        <is>
          <t>لا</t>
        </is>
      </c>
      <c r="I50" s="5" t="inlineStr">
        <is>
          <t>—</t>
        </is>
      </c>
      <c r="J50" s="6" t="inlineStr">
        <is>
          <t>لا</t>
        </is>
      </c>
      <c r="K50" s="6" t="inlineStr">
        <is>
          <t>لا</t>
        </is>
      </c>
      <c r="L50" s="6" t="inlineStr">
        <is>
          <t>لا</t>
        </is>
      </c>
      <c r="M50" s="6" t="inlineStr">
        <is>
          <t>لا</t>
        </is>
      </c>
      <c r="N50" s="6" t="inlineStr">
        <is>
          <t>لا</t>
        </is>
      </c>
      <c r="O50" s="6" t="inlineStr">
        <is>
          <t>لا</t>
        </is>
      </c>
      <c r="P50" s="7" t="n">
        <v>103150</v>
      </c>
      <c r="Q50" s="7" t="n">
        <v>103150</v>
      </c>
      <c r="R50" s="7" t="n">
        <v>106150</v>
      </c>
      <c r="S50" s="6" t="n">
        <v>8</v>
      </c>
      <c r="T50" s="5" t="inlineStr">
        <is>
          <t>شركة، فرع الدمام، فرع الرياض، فرع جدة، معرض الموتر العريق</t>
        </is>
      </c>
      <c r="U50" s="9">
        <f>IF('بحث سريع'!$B$3="",TRUE,P50&lt;='بحث سريع'!$B$3)</f>
        <v/>
      </c>
      <c r="V50" s="9">
        <f>IF('بحث سريع'!$B$4="الكل",TRUE,IF('بحث سريع'!$B$4="شبابي",J50="نعم",IF('بحث سريع'!$B$4="عائلي",K50="نعم",IF('بحث سريع'!$B$4="رياضي",L50="نعم",IF('بحث سريع'!$B$4="اقتصادي",M50="نعم",IF('بحث سريع'!$B$4="فاخم",N50="نعم",IF('بحث سريع'!$B$4="عملي",O50="نعم",FALSE)))))))</f>
        <v/>
      </c>
      <c r="W50" s="9">
        <f>IF('بحث سريع'!$B$5="الكل",TRUE,IF('بحث سريع'!$B$5="نعم",H50="نعم",H50="لا"))</f>
        <v/>
      </c>
      <c r="X50" s="9">
        <f>IF('بحث سريع'!$B$6="الكل",TRUE,A50='بحث سريع'!$B$6)</f>
        <v/>
      </c>
      <c r="Y50" s="9">
        <f>IF('بحث سريع'!$B$7="الكل",TRUE,E50='بحث سريع'!$B$7)</f>
        <v/>
      </c>
      <c r="Z50" s="9">
        <f>IF('بحث سريع'!$B$8="",TRUE,ISNUMBER(SEARCH('بحث سريع'!$B$8,A50&amp;" "&amp;B50&amp;" "&amp;C50)))</f>
        <v/>
      </c>
      <c r="AA50" s="9">
        <f>AND(U50:Z50)</f>
        <v/>
      </c>
    </row>
    <row r="51">
      <c r="A51" s="5" t="inlineStr">
        <is>
          <t>Kia (NMC)</t>
        </is>
      </c>
      <c r="B51" s="5" t="inlineStr">
        <is>
          <t>SELTOS 1.5L</t>
        </is>
      </c>
      <c r="C51" s="5" t="inlineStr">
        <is>
          <t>Gl</t>
        </is>
      </c>
      <c r="D51" s="6" t="n">
        <v>2024</v>
      </c>
      <c r="E51" s="6" t="inlineStr">
        <is>
          <t>أوتوماتيك</t>
        </is>
      </c>
      <c r="F51" s="6" t="n">
        <v>1.5</v>
      </c>
      <c r="G51" s="6" t="inlineStr">
        <is>
          <t>قماش</t>
        </is>
      </c>
      <c r="H51" s="6" t="inlineStr">
        <is>
          <t>لا</t>
        </is>
      </c>
      <c r="I51" s="5" t="inlineStr">
        <is>
          <t>—</t>
        </is>
      </c>
      <c r="J51" s="6" t="inlineStr">
        <is>
          <t>لا</t>
        </is>
      </c>
      <c r="K51" s="6" t="inlineStr">
        <is>
          <t>لا</t>
        </is>
      </c>
      <c r="L51" s="6" t="inlineStr">
        <is>
          <t>لا</t>
        </is>
      </c>
      <c r="M51" s="6" t="inlineStr">
        <is>
          <t>لا</t>
        </is>
      </c>
      <c r="N51" s="6" t="inlineStr">
        <is>
          <t>لا</t>
        </is>
      </c>
      <c r="O51" s="6" t="inlineStr">
        <is>
          <t>لا</t>
        </is>
      </c>
      <c r="P51" s="7" t="n">
        <v>70950</v>
      </c>
      <c r="Q51" s="7" t="n">
        <v>70950</v>
      </c>
      <c r="R51" s="7" t="n">
        <v>73950</v>
      </c>
      <c r="S51" s="6" t="n">
        <v>1</v>
      </c>
      <c r="T51" s="5" t="inlineStr">
        <is>
          <t>فرع جدة</t>
        </is>
      </c>
      <c r="U51" s="9">
        <f>IF('بحث سريع'!$B$3="",TRUE,P51&lt;='بحث سريع'!$B$3)</f>
        <v/>
      </c>
      <c r="V51" s="9">
        <f>IF('بحث سريع'!$B$4="الكل",TRUE,IF('بحث سريع'!$B$4="شبابي",J51="نعم",IF('بحث سريع'!$B$4="عائلي",K51="نعم",IF('بحث سريع'!$B$4="رياضي",L51="نعم",IF('بحث سريع'!$B$4="اقتصادي",M51="نعم",IF('بحث سريع'!$B$4="فاخم",N51="نعم",IF('بحث سريع'!$B$4="عملي",O51="نعم",FALSE)))))))</f>
        <v/>
      </c>
      <c r="W51" s="9">
        <f>IF('بحث سريع'!$B$5="الكل",TRUE,IF('بحث سريع'!$B$5="نعم",H51="نعم",H51="لا"))</f>
        <v/>
      </c>
      <c r="X51" s="9">
        <f>IF('بحث سريع'!$B$6="الكل",TRUE,A51='بحث سريع'!$B$6)</f>
        <v/>
      </c>
      <c r="Y51" s="9">
        <f>IF('بحث سريع'!$B$7="الكل",TRUE,E51='بحث سريع'!$B$7)</f>
        <v/>
      </c>
      <c r="Z51" s="9">
        <f>IF('بحث سريع'!$B$8="",TRUE,ISNUMBER(SEARCH('بحث سريع'!$B$8,A51&amp;" "&amp;B51&amp;" "&amp;C51)))</f>
        <v/>
      </c>
      <c r="AA51" s="9">
        <f>AND(U51:Z51)</f>
        <v/>
      </c>
    </row>
    <row r="52">
      <c r="A52" s="5" t="inlineStr">
        <is>
          <t>Kia (NMC)</t>
        </is>
      </c>
      <c r="B52" s="5" t="inlineStr">
        <is>
          <t>Sportage L 2.0</t>
        </is>
      </c>
      <c r="C52" s="5" t="inlineStr">
        <is>
          <t>Gls</t>
        </is>
      </c>
      <c r="D52" s="6" t="n">
        <v>2025</v>
      </c>
      <c r="E52" s="6" t="inlineStr">
        <is>
          <t>أوتوماتيك</t>
        </is>
      </c>
      <c r="F52" s="6" t="n">
        <v>2</v>
      </c>
      <c r="G52" s="6" t="inlineStr">
        <is>
          <t>جلد</t>
        </is>
      </c>
      <c r="H52" s="6" t="inlineStr">
        <is>
          <t>نعم</t>
        </is>
      </c>
      <c r="I52" s="5" t="inlineStr">
        <is>
          <t>—</t>
        </is>
      </c>
      <c r="J52" s="6" t="inlineStr">
        <is>
          <t>لا</t>
        </is>
      </c>
      <c r="K52" s="6" t="inlineStr">
        <is>
          <t>لا</t>
        </is>
      </c>
      <c r="L52" s="6" t="inlineStr">
        <is>
          <t>لا</t>
        </is>
      </c>
      <c r="M52" s="6" t="inlineStr">
        <is>
          <t>لا</t>
        </is>
      </c>
      <c r="N52" s="6" t="inlineStr">
        <is>
          <t>لا</t>
        </is>
      </c>
      <c r="O52" s="6" t="inlineStr">
        <is>
          <t>لا</t>
        </is>
      </c>
      <c r="P52" s="7" t="n">
        <v>115270</v>
      </c>
      <c r="Q52" s="7" t="n">
        <v>115270</v>
      </c>
      <c r="R52" s="7" t="n">
        <v>118270</v>
      </c>
      <c r="S52" s="6" t="n">
        <v>1</v>
      </c>
      <c r="T52" s="5" t="inlineStr">
        <is>
          <t>فرع الرياض</t>
        </is>
      </c>
      <c r="U52" s="9">
        <f>IF('بحث سريع'!$B$3="",TRUE,P52&lt;='بحث سريع'!$B$3)</f>
        <v/>
      </c>
      <c r="V52" s="9">
        <f>IF('بحث سريع'!$B$4="الكل",TRUE,IF('بحث سريع'!$B$4="شبابي",J52="نعم",IF('بحث سريع'!$B$4="عائلي",K52="نعم",IF('بحث سريع'!$B$4="رياضي",L52="نعم",IF('بحث سريع'!$B$4="اقتصادي",M52="نعم",IF('بحث سريع'!$B$4="فاخم",N52="نعم",IF('بحث سريع'!$B$4="عملي",O52="نعم",FALSE)))))))</f>
        <v/>
      </c>
      <c r="W52" s="9">
        <f>IF('بحث سريع'!$B$5="الكل",TRUE,IF('بحث سريع'!$B$5="نعم",H52="نعم",H52="لا"))</f>
        <v/>
      </c>
      <c r="X52" s="9">
        <f>IF('بحث سريع'!$B$6="الكل",TRUE,A52='بحث سريع'!$B$6)</f>
        <v/>
      </c>
      <c r="Y52" s="9">
        <f>IF('بحث سريع'!$B$7="الكل",TRUE,E52='بحث سريع'!$B$7)</f>
        <v/>
      </c>
      <c r="Z52" s="9">
        <f>IF('بحث سريع'!$B$8="",TRUE,ISNUMBER(SEARCH('بحث سريع'!$B$8,A52&amp;" "&amp;B52&amp;" "&amp;C52)))</f>
        <v/>
      </c>
      <c r="AA52" s="9">
        <f>AND(U52:Z52)</f>
        <v/>
      </c>
    </row>
    <row r="53">
      <c r="A53" s="5" t="inlineStr">
        <is>
          <t>Kia (NMC)</t>
        </is>
      </c>
      <c r="B53" s="5" t="inlineStr">
        <is>
          <t>Sportage L 1.5T</t>
        </is>
      </c>
      <c r="C53" s="5" t="inlineStr">
        <is>
          <t>Gls</t>
        </is>
      </c>
      <c r="D53" s="6" t="n">
        <v>2025</v>
      </c>
      <c r="E53" s="6" t="inlineStr">
        <is>
          <t>أوتوماتيك</t>
        </is>
      </c>
      <c r="F53" s="6" t="n">
        <v>1.5</v>
      </c>
      <c r="G53" s="6" t="inlineStr">
        <is>
          <t>جلد</t>
        </is>
      </c>
      <c r="H53" s="6" t="inlineStr">
        <is>
          <t>لا</t>
        </is>
      </c>
      <c r="I53" s="5" t="inlineStr">
        <is>
          <t>—</t>
        </is>
      </c>
      <c r="J53" s="6" t="inlineStr">
        <is>
          <t>لا</t>
        </is>
      </c>
      <c r="K53" s="6" t="inlineStr">
        <is>
          <t>لا</t>
        </is>
      </c>
      <c r="L53" s="6" t="inlineStr">
        <is>
          <t>لا</t>
        </is>
      </c>
      <c r="M53" s="6" t="inlineStr">
        <is>
          <t>لا</t>
        </is>
      </c>
      <c r="N53" s="6" t="inlineStr">
        <is>
          <t>لا</t>
        </is>
      </c>
      <c r="O53" s="6" t="inlineStr">
        <is>
          <t>لا</t>
        </is>
      </c>
      <c r="P53" s="7" t="n">
        <v>99700</v>
      </c>
      <c r="Q53" s="7" t="n">
        <v>99700</v>
      </c>
      <c r="R53" s="7" t="n">
        <v>102700</v>
      </c>
      <c r="S53" s="6" t="n">
        <v>1</v>
      </c>
      <c r="T53" s="5" t="inlineStr">
        <is>
          <t>فرع جدة</t>
        </is>
      </c>
      <c r="U53" s="9">
        <f>IF('بحث سريع'!$B$3="",TRUE,P53&lt;='بحث سريع'!$B$3)</f>
        <v/>
      </c>
      <c r="V53" s="9">
        <f>IF('بحث سريع'!$B$4="الكل",TRUE,IF('بحث سريع'!$B$4="شبابي",J53="نعم",IF('بحث سريع'!$B$4="عائلي",K53="نعم",IF('بحث سريع'!$B$4="رياضي",L53="نعم",IF('بحث سريع'!$B$4="اقتصادي",M53="نعم",IF('بحث سريع'!$B$4="فاخم",N53="نعم",IF('بحث سريع'!$B$4="عملي",O53="نعم",FALSE)))))))</f>
        <v/>
      </c>
      <c r="W53" s="9">
        <f>IF('بحث سريع'!$B$5="الكل",TRUE,IF('بحث سريع'!$B$5="نعم",H53="نعم",H53="لا"))</f>
        <v/>
      </c>
      <c r="X53" s="9">
        <f>IF('بحث سريع'!$B$6="الكل",TRUE,A53='بحث سريع'!$B$6)</f>
        <v/>
      </c>
      <c r="Y53" s="9">
        <f>IF('بحث سريع'!$B$7="الكل",TRUE,E53='بحث سريع'!$B$7)</f>
        <v/>
      </c>
      <c r="Z53" s="9">
        <f>IF('بحث سريع'!$B$8="",TRUE,ISNUMBER(SEARCH('بحث سريع'!$B$8,A53&amp;" "&amp;B53&amp;" "&amp;C53)))</f>
        <v/>
      </c>
      <c r="AA53" s="9">
        <f>AND(U53:Z53)</f>
        <v/>
      </c>
    </row>
    <row r="54">
      <c r="A54" s="5" t="inlineStr">
        <is>
          <t>Kia (NMC)</t>
        </is>
      </c>
      <c r="B54" s="5" t="inlineStr">
        <is>
          <t>Sportage 1.6T</t>
        </is>
      </c>
      <c r="C54" s="5" t="inlineStr">
        <is>
          <t>Gls</t>
        </is>
      </c>
      <c r="D54" s="6" t="n">
        <v>2025</v>
      </c>
      <c r="E54" s="6" t="inlineStr">
        <is>
          <t>أوتوماتيك</t>
        </is>
      </c>
      <c r="F54" s="6" t="n">
        <v>1.6</v>
      </c>
      <c r="G54" s="6" t="inlineStr">
        <is>
          <t>جلد</t>
        </is>
      </c>
      <c r="H54" s="6" t="inlineStr">
        <is>
          <t>نعم</t>
        </is>
      </c>
      <c r="I54" s="5" t="inlineStr">
        <is>
          <t>—</t>
        </is>
      </c>
      <c r="J54" s="6" t="inlineStr">
        <is>
          <t>لا</t>
        </is>
      </c>
      <c r="K54" s="6" t="inlineStr">
        <is>
          <t>لا</t>
        </is>
      </c>
      <c r="L54" s="6" t="inlineStr">
        <is>
          <t>لا</t>
        </is>
      </c>
      <c r="M54" s="6" t="inlineStr">
        <is>
          <t>لا</t>
        </is>
      </c>
      <c r="N54" s="6" t="inlineStr">
        <is>
          <t>لا</t>
        </is>
      </c>
      <c r="O54" s="6" t="inlineStr">
        <is>
          <t>لا</t>
        </is>
      </c>
      <c r="P54" s="7" t="n">
        <v>108900</v>
      </c>
      <c r="Q54" s="7" t="n">
        <v>109475</v>
      </c>
      <c r="R54" s="7" t="n">
        <v>111900</v>
      </c>
      <c r="S54" s="6" t="n">
        <v>3</v>
      </c>
      <c r="T54" s="5" t="inlineStr">
        <is>
          <t>فرع الدمام، فرع الرياض</t>
        </is>
      </c>
      <c r="U54" s="9">
        <f>IF('بحث سريع'!$B$3="",TRUE,P54&lt;='بحث سريع'!$B$3)</f>
        <v/>
      </c>
      <c r="V54" s="9">
        <f>IF('بحث سريع'!$B$4="الكل",TRUE,IF('بحث سريع'!$B$4="شبابي",J54="نعم",IF('بحث سريع'!$B$4="عائلي",K54="نعم",IF('بحث سريع'!$B$4="رياضي",L54="نعم",IF('بحث سريع'!$B$4="اقتصادي",M54="نعم",IF('بحث سريع'!$B$4="فاخم",N54="نعم",IF('بحث سريع'!$B$4="عملي",O54="نعم",FALSE)))))))</f>
        <v/>
      </c>
      <c r="W54" s="9">
        <f>IF('بحث سريع'!$B$5="الكل",TRUE,IF('بحث سريع'!$B$5="نعم",H54="نعم",H54="لا"))</f>
        <v/>
      </c>
      <c r="X54" s="9">
        <f>IF('بحث سريع'!$B$6="الكل",TRUE,A54='بحث سريع'!$B$6)</f>
        <v/>
      </c>
      <c r="Y54" s="9">
        <f>IF('بحث سريع'!$B$7="الكل",TRUE,E54='بحث سريع'!$B$7)</f>
        <v/>
      </c>
      <c r="Z54" s="9">
        <f>IF('بحث سريع'!$B$8="",TRUE,ISNUMBER(SEARCH('بحث سريع'!$B$8,A54&amp;" "&amp;B54&amp;" "&amp;C54)))</f>
        <v/>
      </c>
      <c r="AA54" s="9">
        <f>AND(U54:Z54)</f>
        <v/>
      </c>
    </row>
    <row r="55">
      <c r="A55" s="5" t="inlineStr">
        <is>
          <t>Kia (NMC)</t>
        </is>
      </c>
      <c r="B55" s="5" t="inlineStr">
        <is>
          <t>SELTOS 1.5L</t>
        </is>
      </c>
      <c r="C55" s="5" t="inlineStr">
        <is>
          <t>Gl</t>
        </is>
      </c>
      <c r="D55" s="6" t="n">
        <v>2025</v>
      </c>
      <c r="E55" s="6" t="inlineStr">
        <is>
          <t>أوتوماتيك</t>
        </is>
      </c>
      <c r="F55" s="6" t="n">
        <v>1.5</v>
      </c>
      <c r="G55" s="6" t="inlineStr">
        <is>
          <t>قماش</t>
        </is>
      </c>
      <c r="H55" s="6" t="inlineStr">
        <is>
          <t>لا</t>
        </is>
      </c>
      <c r="I55" s="5" t="inlineStr">
        <is>
          <t>—</t>
        </is>
      </c>
      <c r="J55" s="6" t="inlineStr">
        <is>
          <t>لا</t>
        </is>
      </c>
      <c r="K55" s="6" t="inlineStr">
        <is>
          <t>لا</t>
        </is>
      </c>
      <c r="L55" s="6" t="inlineStr">
        <is>
          <t>لا</t>
        </is>
      </c>
      <c r="M55" s="6" t="inlineStr">
        <is>
          <t>لا</t>
        </is>
      </c>
      <c r="N55" s="6" t="inlineStr">
        <is>
          <t>لا</t>
        </is>
      </c>
      <c r="O55" s="6" t="inlineStr">
        <is>
          <t>لا</t>
        </is>
      </c>
      <c r="P55" s="7" t="n">
        <v>68650</v>
      </c>
      <c r="Q55" s="7" t="n">
        <v>68650</v>
      </c>
      <c r="R55" s="7" t="n">
        <v>71650</v>
      </c>
      <c r="S55" s="6" t="n">
        <v>45</v>
      </c>
      <c r="T55" s="5" t="inlineStr">
        <is>
          <t>الخضر، حوش خاص ابو سعد، سيارتك الرقمية، فرع الدمام، فرع الرياض، فرع الهزاع، فرع جدة، معرض الموتر العريق</t>
        </is>
      </c>
      <c r="U55" s="9">
        <f>IF('بحث سريع'!$B$3="",TRUE,P55&lt;='بحث سريع'!$B$3)</f>
        <v/>
      </c>
      <c r="V55" s="9">
        <f>IF('بحث سريع'!$B$4="الكل",TRUE,IF('بحث سريع'!$B$4="شبابي",J55="نعم",IF('بحث سريع'!$B$4="عائلي",K55="نعم",IF('بحث سريع'!$B$4="رياضي",L55="نعم",IF('بحث سريع'!$B$4="اقتصادي",M55="نعم",IF('بحث سريع'!$B$4="فاخم",N55="نعم",IF('بحث سريع'!$B$4="عملي",O55="نعم",FALSE)))))))</f>
        <v/>
      </c>
      <c r="W55" s="9">
        <f>IF('بحث سريع'!$B$5="الكل",TRUE,IF('بحث سريع'!$B$5="نعم",H55="نعم",H55="لا"))</f>
        <v/>
      </c>
      <c r="X55" s="9">
        <f>IF('بحث سريع'!$B$6="الكل",TRUE,A55='بحث سريع'!$B$6)</f>
        <v/>
      </c>
      <c r="Y55" s="9">
        <f>IF('بحث سريع'!$B$7="الكل",TRUE,E55='بحث سريع'!$B$7)</f>
        <v/>
      </c>
      <c r="Z55" s="9">
        <f>IF('بحث سريع'!$B$8="",TRUE,ISNUMBER(SEARCH('بحث سريع'!$B$8,A55&amp;" "&amp;B55&amp;" "&amp;C55)))</f>
        <v/>
      </c>
      <c r="AA55" s="9">
        <f>AND(U55:Z55)</f>
        <v/>
      </c>
    </row>
    <row r="56">
      <c r="A56" s="5" t="inlineStr">
        <is>
          <t>Kia (NMC)</t>
        </is>
      </c>
      <c r="B56" s="5" t="inlineStr">
        <is>
          <t>K52.5L</t>
        </is>
      </c>
      <c r="C56" s="5" t="inlineStr">
        <is>
          <t>Gt-Line</t>
        </is>
      </c>
      <c r="D56" s="6" t="n">
        <v>2025</v>
      </c>
      <c r="E56" s="6" t="inlineStr">
        <is>
          <t>أوتوماتيك</t>
        </is>
      </c>
      <c r="F56" s="6" t="n">
        <v>2.5</v>
      </c>
      <c r="G56" s="6" t="inlineStr">
        <is>
          <t>جلد</t>
        </is>
      </c>
      <c r="H56" s="6" t="inlineStr">
        <is>
          <t>نعم</t>
        </is>
      </c>
      <c r="I56" s="5" t="inlineStr">
        <is>
          <t>رياضي، فاخم</t>
        </is>
      </c>
      <c r="J56" s="6" t="inlineStr">
        <is>
          <t>لا</t>
        </is>
      </c>
      <c r="K56" s="6" t="inlineStr">
        <is>
          <t>لا</t>
        </is>
      </c>
      <c r="L56" s="6" t="inlineStr">
        <is>
          <t>نعم</t>
        </is>
      </c>
      <c r="M56" s="6" t="inlineStr">
        <is>
          <t>لا</t>
        </is>
      </c>
      <c r="N56" s="6" t="inlineStr">
        <is>
          <t>نعم</t>
        </is>
      </c>
      <c r="O56" s="6" t="inlineStr">
        <is>
          <t>لا</t>
        </is>
      </c>
      <c r="P56" s="7" t="n">
        <v>135350</v>
      </c>
      <c r="Q56" s="7" t="n">
        <v>135350</v>
      </c>
      <c r="R56" s="7" t="n">
        <v>138350</v>
      </c>
      <c r="S56" s="6" t="n">
        <v>1</v>
      </c>
      <c r="T56" s="5" t="inlineStr">
        <is>
          <t>فرع الرياض</t>
        </is>
      </c>
      <c r="U56" s="9">
        <f>IF('بحث سريع'!$B$3="",TRUE,P56&lt;='بحث سريع'!$B$3)</f>
        <v/>
      </c>
      <c r="V56" s="9">
        <f>IF('بحث سريع'!$B$4="الكل",TRUE,IF('بحث سريع'!$B$4="شبابي",J56="نعم",IF('بحث سريع'!$B$4="عائلي",K56="نعم",IF('بحث سريع'!$B$4="رياضي",L56="نعم",IF('بحث سريع'!$B$4="اقتصادي",M56="نعم",IF('بحث سريع'!$B$4="فاخم",N56="نعم",IF('بحث سريع'!$B$4="عملي",O56="نعم",FALSE)))))))</f>
        <v/>
      </c>
      <c r="W56" s="9">
        <f>IF('بحث سريع'!$B$5="الكل",TRUE,IF('بحث سريع'!$B$5="نعم",H56="نعم",H56="لا"))</f>
        <v/>
      </c>
      <c r="X56" s="9">
        <f>IF('بحث سريع'!$B$6="الكل",TRUE,A56='بحث سريع'!$B$6)</f>
        <v/>
      </c>
      <c r="Y56" s="9">
        <f>IF('بحث سريع'!$B$7="الكل",TRUE,E56='بحث سريع'!$B$7)</f>
        <v/>
      </c>
      <c r="Z56" s="9">
        <f>IF('بحث سريع'!$B$8="",TRUE,ISNUMBER(SEARCH('بحث سريع'!$B$8,A56&amp;" "&amp;B56&amp;" "&amp;C56)))</f>
        <v/>
      </c>
      <c r="AA56" s="9">
        <f>AND(U56:Z56)</f>
        <v/>
      </c>
    </row>
    <row r="57">
      <c r="A57" s="5" t="inlineStr">
        <is>
          <t>Kia (NMC)</t>
        </is>
      </c>
      <c r="B57" s="5" t="inlineStr">
        <is>
          <t>K52.5L</t>
        </is>
      </c>
      <c r="C57" s="5" t="inlineStr">
        <is>
          <t>Gls</t>
        </is>
      </c>
      <c r="D57" s="6" t="n">
        <v>2026</v>
      </c>
      <c r="E57" s="6" t="inlineStr">
        <is>
          <t>أوتوماتيك</t>
        </is>
      </c>
      <c r="F57" s="6" t="n">
        <v>2.5</v>
      </c>
      <c r="G57" s="6" t="inlineStr">
        <is>
          <t>جلد</t>
        </is>
      </c>
      <c r="H57" s="6" t="inlineStr">
        <is>
          <t>نعم</t>
        </is>
      </c>
      <c r="I57" s="5" t="inlineStr">
        <is>
          <t>رياضي</t>
        </is>
      </c>
      <c r="J57" s="6" t="inlineStr">
        <is>
          <t>لا</t>
        </is>
      </c>
      <c r="K57" s="6" t="inlineStr">
        <is>
          <t>لا</t>
        </is>
      </c>
      <c r="L57" s="6" t="inlineStr">
        <is>
          <t>نعم</t>
        </is>
      </c>
      <c r="M57" s="6" t="inlineStr">
        <is>
          <t>لا</t>
        </is>
      </c>
      <c r="N57" s="6" t="inlineStr">
        <is>
          <t>لا</t>
        </is>
      </c>
      <c r="O57" s="6" t="inlineStr">
        <is>
          <t>لا</t>
        </is>
      </c>
      <c r="P57" s="7" t="n">
        <v>115800</v>
      </c>
      <c r="Q57" s="7" t="n">
        <v>115800</v>
      </c>
      <c r="R57" s="7" t="n">
        <v>118800</v>
      </c>
      <c r="S57" s="6" t="n">
        <v>1</v>
      </c>
      <c r="T57" s="5" t="inlineStr">
        <is>
          <t>فرع الدمام</t>
        </is>
      </c>
      <c r="U57" s="9">
        <f>IF('بحث سريع'!$B$3="",TRUE,P57&lt;='بحث سريع'!$B$3)</f>
        <v/>
      </c>
      <c r="V57" s="9">
        <f>IF('بحث سريع'!$B$4="الكل",TRUE,IF('بحث سريع'!$B$4="شبابي",J57="نعم",IF('بحث سريع'!$B$4="عائلي",K57="نعم",IF('بحث سريع'!$B$4="رياضي",L57="نعم",IF('بحث سريع'!$B$4="اقتصادي",M57="نعم",IF('بحث سريع'!$B$4="فاخم",N57="نعم",IF('بحث سريع'!$B$4="عملي",O57="نعم",FALSE)))))))</f>
        <v/>
      </c>
      <c r="W57" s="9">
        <f>IF('بحث سريع'!$B$5="الكل",TRUE,IF('بحث سريع'!$B$5="نعم",H57="نعم",H57="لا"))</f>
        <v/>
      </c>
      <c r="X57" s="9">
        <f>IF('بحث سريع'!$B$6="الكل",TRUE,A57='بحث سريع'!$B$6)</f>
        <v/>
      </c>
      <c r="Y57" s="9">
        <f>IF('بحث سريع'!$B$7="الكل",TRUE,E57='بحث سريع'!$B$7)</f>
        <v/>
      </c>
      <c r="Z57" s="9">
        <f>IF('بحث سريع'!$B$8="",TRUE,ISNUMBER(SEARCH('بحث سريع'!$B$8,A57&amp;" "&amp;B57&amp;" "&amp;C57)))</f>
        <v/>
      </c>
      <c r="AA57" s="9">
        <f>AND(U57:Z57)</f>
        <v/>
      </c>
    </row>
    <row r="58">
      <c r="A58" s="5" t="inlineStr">
        <is>
          <t>Kia (NMC)</t>
        </is>
      </c>
      <c r="B58" s="5" t="inlineStr">
        <is>
          <t>K4 1.6</t>
        </is>
      </c>
      <c r="C58" s="5" t="inlineStr">
        <is>
          <t>Gl</t>
        </is>
      </c>
      <c r="D58" s="6" t="n">
        <v>2026</v>
      </c>
      <c r="E58" s="6" t="inlineStr">
        <is>
          <t>أوتوماتيك</t>
        </is>
      </c>
      <c r="F58" s="6" t="n">
        <v>1.6</v>
      </c>
      <c r="G58" s="6" t="inlineStr">
        <is>
          <t>قماش</t>
        </is>
      </c>
      <c r="H58" s="6" t="inlineStr">
        <is>
          <t>لا</t>
        </is>
      </c>
      <c r="I58" s="5" t="inlineStr">
        <is>
          <t>عملي</t>
        </is>
      </c>
      <c r="J58" s="6" t="inlineStr">
        <is>
          <t>لا</t>
        </is>
      </c>
      <c r="K58" s="6" t="inlineStr">
        <is>
          <t>لا</t>
        </is>
      </c>
      <c r="L58" s="6" t="inlineStr">
        <is>
          <t>لا</t>
        </is>
      </c>
      <c r="M58" s="6" t="inlineStr">
        <is>
          <t>لا</t>
        </is>
      </c>
      <c r="N58" s="6" t="inlineStr">
        <is>
          <t>لا</t>
        </is>
      </c>
      <c r="O58" s="6" t="inlineStr">
        <is>
          <t>نعم</t>
        </is>
      </c>
      <c r="P58" s="7" t="n">
        <v>77275</v>
      </c>
      <c r="Q58" s="7" t="n">
        <v>77275</v>
      </c>
      <c r="R58" s="7" t="n">
        <v>80275</v>
      </c>
      <c r="S58" s="6" t="n">
        <v>2</v>
      </c>
      <c r="T58" s="5" t="inlineStr">
        <is>
          <t>طويق، فرع الدمام</t>
        </is>
      </c>
      <c r="U58" s="9">
        <f>IF('بحث سريع'!$B$3="",TRUE,P58&lt;='بحث سريع'!$B$3)</f>
        <v/>
      </c>
      <c r="V58" s="9">
        <f>IF('بحث سريع'!$B$4="الكل",TRUE,IF('بحث سريع'!$B$4="شبابي",J58="نعم",IF('بحث سريع'!$B$4="عائلي",K58="نعم",IF('بحث سريع'!$B$4="رياضي",L58="نعم",IF('بحث سريع'!$B$4="اقتصادي",M58="نعم",IF('بحث سريع'!$B$4="فاخم",N58="نعم",IF('بحث سريع'!$B$4="عملي",O58="نعم",FALSE)))))))</f>
        <v/>
      </c>
      <c r="W58" s="9">
        <f>IF('بحث سريع'!$B$5="الكل",TRUE,IF('بحث سريع'!$B$5="نعم",H58="نعم",H58="لا"))</f>
        <v/>
      </c>
      <c r="X58" s="9">
        <f>IF('بحث سريع'!$B$6="الكل",TRUE,A58='بحث سريع'!$B$6)</f>
        <v/>
      </c>
      <c r="Y58" s="9">
        <f>IF('بحث سريع'!$B$7="الكل",TRUE,E58='بحث سريع'!$B$7)</f>
        <v/>
      </c>
      <c r="Z58" s="9">
        <f>IF('بحث سريع'!$B$8="",TRUE,ISNUMBER(SEARCH('بحث سريع'!$B$8,A58&amp;" "&amp;B58&amp;" "&amp;C58)))</f>
        <v/>
      </c>
      <c r="AA58" s="9">
        <f>AND(U58:Z58)</f>
        <v/>
      </c>
    </row>
    <row r="59">
      <c r="A59" s="5" t="inlineStr">
        <is>
          <t>Jetour</t>
        </is>
      </c>
      <c r="B59" s="5" t="inlineStr">
        <is>
          <t>X50 1.5T</t>
        </is>
      </c>
      <c r="C59" s="5" t="inlineStr">
        <is>
          <t>Premiere</t>
        </is>
      </c>
      <c r="D59" s="6" t="n">
        <v>2026</v>
      </c>
      <c r="E59" s="6" t="inlineStr">
        <is>
          <t>أوتوماتيك</t>
        </is>
      </c>
      <c r="F59" s="6" t="n">
        <v>1.5</v>
      </c>
      <c r="G59" s="6" t="inlineStr">
        <is>
          <t>جلد</t>
        </is>
      </c>
      <c r="H59" s="6" t="inlineStr">
        <is>
          <t>نعم</t>
        </is>
      </c>
      <c r="I59" s="5" t="inlineStr">
        <is>
          <t>فاخم، عملي</t>
        </is>
      </c>
      <c r="J59" s="6" t="inlineStr">
        <is>
          <t>لا</t>
        </is>
      </c>
      <c r="K59" s="6" t="inlineStr">
        <is>
          <t>لا</t>
        </is>
      </c>
      <c r="L59" s="6" t="inlineStr">
        <is>
          <t>لا</t>
        </is>
      </c>
      <c r="M59" s="6" t="inlineStr">
        <is>
          <t>لا</t>
        </is>
      </c>
      <c r="N59" s="6" t="inlineStr">
        <is>
          <t>نعم</t>
        </is>
      </c>
      <c r="O59" s="6" t="inlineStr">
        <is>
          <t>نعم</t>
        </is>
      </c>
      <c r="P59" s="7" t="n">
        <v>66776</v>
      </c>
      <c r="Q59" s="7" t="n">
        <v>66776</v>
      </c>
      <c r="R59" s="7" t="n">
        <v>69776</v>
      </c>
      <c r="S59" s="6" t="n">
        <v>4</v>
      </c>
      <c r="T59" s="5" t="inlineStr">
        <is>
          <t>فرع الدمام، فرع الرياض، فرع جدة</t>
        </is>
      </c>
      <c r="U59" s="9">
        <f>IF('بحث سريع'!$B$3="",TRUE,P59&lt;='بحث سريع'!$B$3)</f>
        <v/>
      </c>
      <c r="V59" s="9">
        <f>IF('بحث سريع'!$B$4="الكل",TRUE,IF('بحث سريع'!$B$4="شبابي",J59="نعم",IF('بحث سريع'!$B$4="عائلي",K59="نعم",IF('بحث سريع'!$B$4="رياضي",L59="نعم",IF('بحث سريع'!$B$4="اقتصادي",M59="نعم",IF('بحث سريع'!$B$4="فاخم",N59="نعم",IF('بحث سريع'!$B$4="عملي",O59="نعم",FALSE)))))))</f>
        <v/>
      </c>
      <c r="W59" s="9">
        <f>IF('بحث سريع'!$B$5="الكل",TRUE,IF('بحث سريع'!$B$5="نعم",H59="نعم",H59="لا"))</f>
        <v/>
      </c>
      <c r="X59" s="9">
        <f>IF('بحث سريع'!$B$6="الكل",TRUE,A59='بحث سريع'!$B$6)</f>
        <v/>
      </c>
      <c r="Y59" s="9">
        <f>IF('بحث سريع'!$B$7="الكل",TRUE,E59='بحث سريع'!$B$7)</f>
        <v/>
      </c>
      <c r="Z59" s="9">
        <f>IF('بحث سريع'!$B$8="",TRUE,ISNUMBER(SEARCH('بحث سريع'!$B$8,A59&amp;" "&amp;B59&amp;" "&amp;C59)))</f>
        <v/>
      </c>
      <c r="AA59" s="9">
        <f>AND(U59:Z59)</f>
        <v/>
      </c>
    </row>
    <row r="60">
      <c r="A60" s="5" t="inlineStr">
        <is>
          <t>Jetour</t>
        </is>
      </c>
      <c r="B60" s="5" t="inlineStr">
        <is>
          <t>T1 2.0T</t>
        </is>
      </c>
      <c r="C60" s="5" t="inlineStr">
        <is>
          <t>Luxury</t>
        </is>
      </c>
      <c r="D60" s="6" t="n">
        <v>2026</v>
      </c>
      <c r="E60" s="6" t="inlineStr">
        <is>
          <t>أوتوماتيك</t>
        </is>
      </c>
      <c r="F60" s="6" t="n">
        <v>2</v>
      </c>
      <c r="G60" s="6" t="inlineStr">
        <is>
          <t>جلد</t>
        </is>
      </c>
      <c r="H60" s="6" t="inlineStr">
        <is>
          <t>نعم</t>
        </is>
      </c>
      <c r="I60" s="5" t="inlineStr">
        <is>
          <t>فاخم</t>
        </is>
      </c>
      <c r="J60" s="6" t="inlineStr">
        <is>
          <t>لا</t>
        </is>
      </c>
      <c r="K60" s="6" t="inlineStr">
        <is>
          <t>لا</t>
        </is>
      </c>
      <c r="L60" s="6" t="inlineStr">
        <is>
          <t>لا</t>
        </is>
      </c>
      <c r="M60" s="6" t="inlineStr">
        <is>
          <t>لا</t>
        </is>
      </c>
      <c r="N60" s="6" t="inlineStr">
        <is>
          <t>نعم</t>
        </is>
      </c>
      <c r="O60" s="6" t="inlineStr">
        <is>
          <t>لا</t>
        </is>
      </c>
      <c r="P60" s="7" t="n">
        <v>120696</v>
      </c>
      <c r="Q60" s="7" t="n">
        <v>120696</v>
      </c>
      <c r="R60" s="7" t="n">
        <v>123696</v>
      </c>
      <c r="S60" s="6" t="n">
        <v>5</v>
      </c>
      <c r="T60" s="5" t="inlineStr">
        <is>
          <t>شركة، فرع الدمام، فرع الرياض</t>
        </is>
      </c>
      <c r="U60" s="9">
        <f>IF('بحث سريع'!$B$3="",TRUE,P60&lt;='بحث سريع'!$B$3)</f>
        <v/>
      </c>
      <c r="V60" s="9">
        <f>IF('بحث سريع'!$B$4="الكل",TRUE,IF('بحث سريع'!$B$4="شبابي",J60="نعم",IF('بحث سريع'!$B$4="عائلي",K60="نعم",IF('بحث سريع'!$B$4="رياضي",L60="نعم",IF('بحث سريع'!$B$4="اقتصادي",M60="نعم",IF('بحث سريع'!$B$4="فاخم",N60="نعم",IF('بحث سريع'!$B$4="عملي",O60="نعم",FALSE)))))))</f>
        <v/>
      </c>
      <c r="W60" s="9">
        <f>IF('بحث سريع'!$B$5="الكل",TRUE,IF('بحث سريع'!$B$5="نعم",H60="نعم",H60="لا"))</f>
        <v/>
      </c>
      <c r="X60" s="9">
        <f>IF('بحث سريع'!$B$6="الكل",TRUE,A60='بحث سريع'!$B$6)</f>
        <v/>
      </c>
      <c r="Y60" s="9">
        <f>IF('بحث سريع'!$B$7="الكل",TRUE,E60='بحث سريع'!$B$7)</f>
        <v/>
      </c>
      <c r="Z60" s="9">
        <f>IF('بحث سريع'!$B$8="",TRUE,ISNUMBER(SEARCH('بحث سريع'!$B$8,A60&amp;" "&amp;B60&amp;" "&amp;C60)))</f>
        <v/>
      </c>
      <c r="AA60" s="9">
        <f>AND(U60:Z60)</f>
        <v/>
      </c>
    </row>
    <row r="61">
      <c r="A61" s="5" t="inlineStr">
        <is>
          <t>Hyundai</t>
        </is>
      </c>
      <c r="B61" s="5" t="inlineStr">
        <is>
          <t>Tucson 1.6 T</t>
        </is>
      </c>
      <c r="C61" s="5" t="inlineStr">
        <is>
          <t>Comfort</t>
        </is>
      </c>
      <c r="D61" s="6" t="n">
        <v>2025</v>
      </c>
      <c r="E61" s="6" t="inlineStr">
        <is>
          <t>أوتوماتيك</t>
        </is>
      </c>
      <c r="F61" s="6" t="n">
        <v>1.6</v>
      </c>
      <c r="G61" s="6" t="inlineStr">
        <is>
          <t>جلد</t>
        </is>
      </c>
      <c r="H61" s="6" t="inlineStr">
        <is>
          <t>نعم</t>
        </is>
      </c>
      <c r="I61" s="5" t="inlineStr">
        <is>
          <t>—</t>
        </is>
      </c>
      <c r="J61" s="6" t="inlineStr">
        <is>
          <t>لا</t>
        </is>
      </c>
      <c r="K61" s="6" t="inlineStr">
        <is>
          <t>لا</t>
        </is>
      </c>
      <c r="L61" s="6" t="inlineStr">
        <is>
          <t>لا</t>
        </is>
      </c>
      <c r="M61" s="6" t="inlineStr">
        <is>
          <t>لا</t>
        </is>
      </c>
      <c r="N61" s="6" t="inlineStr">
        <is>
          <t>لا</t>
        </is>
      </c>
      <c r="O61" s="6" t="inlineStr">
        <is>
          <t>لا</t>
        </is>
      </c>
      <c r="P61" s="7" t="n">
        <v>111165</v>
      </c>
      <c r="Q61" s="7" t="n">
        <v>111165</v>
      </c>
      <c r="R61" s="7" t="n">
        <v>114165</v>
      </c>
      <c r="S61" s="6" t="n">
        <v>2</v>
      </c>
      <c r="T61" s="5" t="inlineStr">
        <is>
          <t>فرع الرياض</t>
        </is>
      </c>
      <c r="U61" s="9">
        <f>IF('بحث سريع'!$B$3="",TRUE,P61&lt;='بحث سريع'!$B$3)</f>
        <v/>
      </c>
      <c r="V61" s="9">
        <f>IF('بحث سريع'!$B$4="الكل",TRUE,IF('بحث سريع'!$B$4="شبابي",J61="نعم",IF('بحث سريع'!$B$4="عائلي",K61="نعم",IF('بحث سريع'!$B$4="رياضي",L61="نعم",IF('بحث سريع'!$B$4="اقتصادي",M61="نعم",IF('بحث سريع'!$B$4="فاخم",N61="نعم",IF('بحث سريع'!$B$4="عملي",O61="نعم",FALSE)))))))</f>
        <v/>
      </c>
      <c r="W61" s="9">
        <f>IF('بحث سريع'!$B$5="الكل",TRUE,IF('بحث سريع'!$B$5="نعم",H61="نعم",H61="لا"))</f>
        <v/>
      </c>
      <c r="X61" s="9">
        <f>IF('بحث سريع'!$B$6="الكل",TRUE,A61='بحث سريع'!$B$6)</f>
        <v/>
      </c>
      <c r="Y61" s="9">
        <f>IF('بحث سريع'!$B$7="الكل",TRUE,E61='بحث سريع'!$B$7)</f>
        <v/>
      </c>
      <c r="Z61" s="9">
        <f>IF('بحث سريع'!$B$8="",TRUE,ISNUMBER(SEARCH('بحث سريع'!$B$8,A61&amp;" "&amp;B61&amp;" "&amp;C61)))</f>
        <v/>
      </c>
      <c r="AA61" s="9">
        <f>AND(U61:Z61)</f>
        <v/>
      </c>
    </row>
    <row r="62">
      <c r="A62" s="5" t="inlineStr">
        <is>
          <t>Hyundai</t>
        </is>
      </c>
      <c r="B62" s="5" t="inlineStr">
        <is>
          <t>SONATA 2.5L</t>
        </is>
      </c>
      <c r="C62" s="5" t="inlineStr">
        <is>
          <t>Gl Smart</t>
        </is>
      </c>
      <c r="D62" s="6" t="n">
        <v>2026</v>
      </c>
      <c r="E62" s="6" t="inlineStr">
        <is>
          <t>أوتوماتيك</t>
        </is>
      </c>
      <c r="F62" s="6" t="n">
        <v>2.5</v>
      </c>
      <c r="G62" s="6" t="inlineStr">
        <is>
          <t>قماش</t>
        </is>
      </c>
      <c r="H62" s="6" t="inlineStr">
        <is>
          <t>نعم</t>
        </is>
      </c>
      <c r="I62" s="5" t="inlineStr">
        <is>
          <t>فاخم</t>
        </is>
      </c>
      <c r="J62" s="6" t="inlineStr">
        <is>
          <t>لا</t>
        </is>
      </c>
      <c r="K62" s="6" t="inlineStr">
        <is>
          <t>لا</t>
        </is>
      </c>
      <c r="L62" s="6" t="inlineStr">
        <is>
          <t>لا</t>
        </is>
      </c>
      <c r="M62" s="6" t="inlineStr">
        <is>
          <t>لا</t>
        </is>
      </c>
      <c r="N62" s="6" t="inlineStr">
        <is>
          <t>نعم</t>
        </is>
      </c>
      <c r="O62" s="6" t="inlineStr">
        <is>
          <t>لا</t>
        </is>
      </c>
      <c r="P62" s="7" t="n">
        <v>112925</v>
      </c>
      <c r="Q62" s="7" t="n">
        <v>112925</v>
      </c>
      <c r="R62" s="7" t="n">
        <v>115925</v>
      </c>
      <c r="S62" s="6" t="n">
        <v>3</v>
      </c>
      <c r="T62" s="5" t="inlineStr">
        <is>
          <t>فرع الدمام، فرع الرياض، معرض الموتر العريق</t>
        </is>
      </c>
      <c r="U62" s="9">
        <f>IF('بحث سريع'!$B$3="",TRUE,P62&lt;='بحث سريع'!$B$3)</f>
        <v/>
      </c>
      <c r="V62" s="9">
        <f>IF('بحث سريع'!$B$4="الكل",TRUE,IF('بحث سريع'!$B$4="شبابي",J62="نعم",IF('بحث سريع'!$B$4="عائلي",K62="نعم",IF('بحث سريع'!$B$4="رياضي",L62="نعم",IF('بحث سريع'!$B$4="اقتصادي",M62="نعم",IF('بحث سريع'!$B$4="فاخم",N62="نعم",IF('بحث سريع'!$B$4="عملي",O62="نعم",FALSE)))))))</f>
        <v/>
      </c>
      <c r="W62" s="9">
        <f>IF('بحث سريع'!$B$5="الكل",TRUE,IF('بحث سريع'!$B$5="نعم",H62="نعم",H62="لا"))</f>
        <v/>
      </c>
      <c r="X62" s="9">
        <f>IF('بحث سريع'!$B$6="الكل",TRUE,A62='بحث سريع'!$B$6)</f>
        <v/>
      </c>
      <c r="Y62" s="9">
        <f>IF('بحث سريع'!$B$7="الكل",TRUE,E62='بحث سريع'!$B$7)</f>
        <v/>
      </c>
      <c r="Z62" s="9">
        <f>IF('بحث سريع'!$B$8="",TRUE,ISNUMBER(SEARCH('بحث سريع'!$B$8,A62&amp;" "&amp;B62&amp;" "&amp;C62)))</f>
        <v/>
      </c>
      <c r="AA62" s="9">
        <f>AND(U62:Z62)</f>
        <v/>
      </c>
    </row>
    <row r="63">
      <c r="A63" s="5" t="inlineStr">
        <is>
          <t>Hyundai</t>
        </is>
      </c>
      <c r="B63" s="5" t="inlineStr">
        <is>
          <t>SONATA 2.5L</t>
        </is>
      </c>
      <c r="C63" s="5" t="inlineStr">
        <is>
          <t>Comfort</t>
        </is>
      </c>
      <c r="D63" s="6" t="n">
        <v>2026</v>
      </c>
      <c r="E63" s="6" t="inlineStr">
        <is>
          <t>أوتوماتيك</t>
        </is>
      </c>
      <c r="F63" s="6" t="n">
        <v>2.5</v>
      </c>
      <c r="G63" s="6" t="inlineStr">
        <is>
          <t>جلد</t>
        </is>
      </c>
      <c r="H63" s="6" t="inlineStr">
        <is>
          <t>نعم</t>
        </is>
      </c>
      <c r="I63" s="5" t="inlineStr">
        <is>
          <t>فاخم</t>
        </is>
      </c>
      <c r="J63" s="6" t="inlineStr">
        <is>
          <t>لا</t>
        </is>
      </c>
      <c r="K63" s="6" t="inlineStr">
        <is>
          <t>لا</t>
        </is>
      </c>
      <c r="L63" s="6" t="inlineStr">
        <is>
          <t>لا</t>
        </is>
      </c>
      <c r="M63" s="6" t="inlineStr">
        <is>
          <t>لا</t>
        </is>
      </c>
      <c r="N63" s="6" t="inlineStr">
        <is>
          <t>نعم</t>
        </is>
      </c>
      <c r="O63" s="6" t="inlineStr">
        <is>
          <t>لا</t>
        </is>
      </c>
      <c r="P63" s="7" t="n">
        <v>115800</v>
      </c>
      <c r="Q63" s="7" t="n">
        <v>115800</v>
      </c>
      <c r="R63" s="7" t="n">
        <v>118800</v>
      </c>
      <c r="S63" s="6" t="n">
        <v>9</v>
      </c>
      <c r="T63" s="5" t="inlineStr">
        <is>
          <t>فرع الدمام، فرع الرياض، فرع جدة</t>
        </is>
      </c>
      <c r="U63" s="9">
        <f>IF('بحث سريع'!$B$3="",TRUE,P63&lt;='بحث سريع'!$B$3)</f>
        <v/>
      </c>
      <c r="V63" s="9">
        <f>IF('بحث سريع'!$B$4="الكل",TRUE,IF('بحث سريع'!$B$4="شبابي",J63="نعم",IF('بحث سريع'!$B$4="عائلي",K63="نعم",IF('بحث سريع'!$B$4="رياضي",L63="نعم",IF('بحث سريع'!$B$4="اقتصادي",M63="نعم",IF('بحث سريع'!$B$4="فاخم",N63="نعم",IF('بحث سريع'!$B$4="عملي",O63="نعم",FALSE)))))))</f>
        <v/>
      </c>
      <c r="W63" s="9">
        <f>IF('بحث سريع'!$B$5="الكل",TRUE,IF('بحث سريع'!$B$5="نعم",H63="نعم",H63="لا"))</f>
        <v/>
      </c>
      <c r="X63" s="9">
        <f>IF('بحث سريع'!$B$6="الكل",TRUE,A63='بحث سريع'!$B$6)</f>
        <v/>
      </c>
      <c r="Y63" s="9">
        <f>IF('بحث سريع'!$B$7="الكل",TRUE,E63='بحث سريع'!$B$7)</f>
        <v/>
      </c>
      <c r="Z63" s="9">
        <f>IF('بحث سريع'!$B$8="",TRUE,ISNUMBER(SEARCH('بحث سريع'!$B$8,A63&amp;" "&amp;B63&amp;" "&amp;C63)))</f>
        <v/>
      </c>
      <c r="AA63" s="9">
        <f>AND(U63:Z63)</f>
        <v/>
      </c>
    </row>
    <row r="64">
      <c r="A64" s="5" t="inlineStr">
        <is>
          <t>Hyundai</t>
        </is>
      </c>
      <c r="B64" s="5" t="inlineStr">
        <is>
          <t>KONA 2.0L</t>
        </is>
      </c>
      <c r="C64" s="5" t="inlineStr">
        <is>
          <t>Gl</t>
        </is>
      </c>
      <c r="D64" s="6" t="n">
        <v>2026</v>
      </c>
      <c r="E64" s="6" t="inlineStr">
        <is>
          <t>أوتوماتيك</t>
        </is>
      </c>
      <c r="F64" s="6" t="n">
        <v>2</v>
      </c>
      <c r="G64" s="6" t="inlineStr">
        <is>
          <t>قماش</t>
        </is>
      </c>
      <c r="H64" s="6" t="inlineStr">
        <is>
          <t>لا</t>
        </is>
      </c>
      <c r="I64" s="5" t="inlineStr">
        <is>
          <t>عملي</t>
        </is>
      </c>
      <c r="J64" s="6" t="inlineStr">
        <is>
          <t>لا</t>
        </is>
      </c>
      <c r="K64" s="6" t="inlineStr">
        <is>
          <t>لا</t>
        </is>
      </c>
      <c r="L64" s="6" t="inlineStr">
        <is>
          <t>لا</t>
        </is>
      </c>
      <c r="M64" s="6" t="inlineStr">
        <is>
          <t>لا</t>
        </is>
      </c>
      <c r="N64" s="6" t="inlineStr">
        <is>
          <t>لا</t>
        </is>
      </c>
      <c r="O64" s="6" t="inlineStr">
        <is>
          <t>نعم</t>
        </is>
      </c>
      <c r="P64" s="7" t="n">
        <v>84831</v>
      </c>
      <c r="Q64" s="7" t="n">
        <v>84831</v>
      </c>
      <c r="R64" s="7" t="n">
        <v>87831</v>
      </c>
      <c r="S64" s="6" t="n">
        <v>6</v>
      </c>
      <c r="T64" s="5" t="inlineStr">
        <is>
          <t>فرع الدمام، فرع الرياض، فرع جدة</t>
        </is>
      </c>
      <c r="U64" s="9">
        <f>IF('بحث سريع'!$B$3="",TRUE,P64&lt;='بحث سريع'!$B$3)</f>
        <v/>
      </c>
      <c r="V64" s="9">
        <f>IF('بحث سريع'!$B$4="الكل",TRUE,IF('بحث سريع'!$B$4="شبابي",J64="نعم",IF('بحث سريع'!$B$4="عائلي",K64="نعم",IF('بحث سريع'!$B$4="رياضي",L64="نعم",IF('بحث سريع'!$B$4="اقتصادي",M64="نعم",IF('بحث سريع'!$B$4="فاخم",N64="نعم",IF('بحث سريع'!$B$4="عملي",O64="نعم",FALSE)))))))</f>
        <v/>
      </c>
      <c r="W64" s="9">
        <f>IF('بحث سريع'!$B$5="الكل",TRUE,IF('بحث سريع'!$B$5="نعم",H64="نعم",H64="لا"))</f>
        <v/>
      </c>
      <c r="X64" s="9">
        <f>IF('بحث سريع'!$B$6="الكل",TRUE,A64='بحث سريع'!$B$6)</f>
        <v/>
      </c>
      <c r="Y64" s="9">
        <f>IF('بحث سريع'!$B$7="الكل",TRUE,E64='بحث سريع'!$B$7)</f>
        <v/>
      </c>
      <c r="Z64" s="9">
        <f>IF('بحث سريع'!$B$8="",TRUE,ISNUMBER(SEARCH('بحث سريع'!$B$8,A64&amp;" "&amp;B64&amp;" "&amp;C64)))</f>
        <v/>
      </c>
      <c r="AA64" s="9">
        <f>AND(U64:Z64)</f>
        <v/>
      </c>
    </row>
    <row r="65">
      <c r="A65" s="5" t="inlineStr">
        <is>
          <t>Hyundai</t>
        </is>
      </c>
      <c r="B65" s="5" t="inlineStr">
        <is>
          <t>Elantra 2.0L</t>
        </is>
      </c>
      <c r="C65" s="5" t="inlineStr">
        <is>
          <t>Gl Smart+</t>
        </is>
      </c>
      <c r="D65" s="6" t="n">
        <v>2026</v>
      </c>
      <c r="E65" s="6" t="inlineStr">
        <is>
          <t>أوتوماتيك</t>
        </is>
      </c>
      <c r="F65" s="6" t="n">
        <v>2</v>
      </c>
      <c r="G65" s="6" t="inlineStr">
        <is>
          <t>قماش</t>
        </is>
      </c>
      <c r="H65" s="6" t="inlineStr">
        <is>
          <t>لا</t>
        </is>
      </c>
      <c r="I65" s="5" t="inlineStr">
        <is>
          <t>شبابي</t>
        </is>
      </c>
      <c r="J65" s="6" t="inlineStr">
        <is>
          <t>نعم</t>
        </is>
      </c>
      <c r="K65" s="6" t="inlineStr">
        <is>
          <t>لا</t>
        </is>
      </c>
      <c r="L65" s="6" t="inlineStr">
        <is>
          <t>لا</t>
        </is>
      </c>
      <c r="M65" s="6" t="inlineStr">
        <is>
          <t>لا</t>
        </is>
      </c>
      <c r="N65" s="6" t="inlineStr">
        <is>
          <t>لا</t>
        </is>
      </c>
      <c r="O65" s="6" t="inlineStr">
        <is>
          <t>لا</t>
        </is>
      </c>
      <c r="P65" s="7" t="n">
        <v>84750</v>
      </c>
      <c r="Q65" s="7" t="n">
        <v>84750</v>
      </c>
      <c r="R65" s="7" t="n">
        <v>87750</v>
      </c>
      <c r="S65" s="6" t="n">
        <v>1</v>
      </c>
      <c r="T65" s="5" t="inlineStr">
        <is>
          <t>فرع الرياض</t>
        </is>
      </c>
      <c r="U65" s="9">
        <f>IF('بحث سريع'!$B$3="",TRUE,P65&lt;='بحث سريع'!$B$3)</f>
        <v/>
      </c>
      <c r="V65" s="9">
        <f>IF('بحث سريع'!$B$4="الكل",TRUE,IF('بحث سريع'!$B$4="شبابي",J65="نعم",IF('بحث سريع'!$B$4="عائلي",K65="نعم",IF('بحث سريع'!$B$4="رياضي",L65="نعم",IF('بحث سريع'!$B$4="اقتصادي",M65="نعم",IF('بحث سريع'!$B$4="فاخم",N65="نعم",IF('بحث سريع'!$B$4="عملي",O65="نعم",FALSE)))))))</f>
        <v/>
      </c>
      <c r="W65" s="9">
        <f>IF('بحث سريع'!$B$5="الكل",TRUE,IF('بحث سريع'!$B$5="نعم",H65="نعم",H65="لا"))</f>
        <v/>
      </c>
      <c r="X65" s="9">
        <f>IF('بحث سريع'!$B$6="الكل",TRUE,A65='بحث سريع'!$B$6)</f>
        <v/>
      </c>
      <c r="Y65" s="9">
        <f>IF('بحث سريع'!$B$7="الكل",TRUE,E65='بحث سريع'!$B$7)</f>
        <v/>
      </c>
      <c r="Z65" s="9">
        <f>IF('بحث سريع'!$B$8="",TRUE,ISNUMBER(SEARCH('بحث سريع'!$B$8,A65&amp;" "&amp;B65&amp;" "&amp;C65)))</f>
        <v/>
      </c>
      <c r="AA65" s="9">
        <f>AND(U65:Z65)</f>
        <v/>
      </c>
    </row>
    <row r="66">
      <c r="A66" s="5" t="inlineStr">
        <is>
          <t>Hyundai</t>
        </is>
      </c>
      <c r="B66" s="5" t="inlineStr">
        <is>
          <t>Elantra 2.0L</t>
        </is>
      </c>
      <c r="C66" s="5" t="inlineStr">
        <is>
          <t>Gl Smart</t>
        </is>
      </c>
      <c r="D66" s="6" t="n">
        <v>2026</v>
      </c>
      <c r="E66" s="6" t="inlineStr">
        <is>
          <t>أوتوماتيك</t>
        </is>
      </c>
      <c r="F66" s="6" t="n">
        <v>2</v>
      </c>
      <c r="G66" s="6" t="inlineStr">
        <is>
          <t>قماش</t>
        </is>
      </c>
      <c r="H66" s="6" t="inlineStr">
        <is>
          <t>لا</t>
        </is>
      </c>
      <c r="I66" s="5" t="inlineStr">
        <is>
          <t>شبابي</t>
        </is>
      </c>
      <c r="J66" s="6" t="inlineStr">
        <is>
          <t>نعم</t>
        </is>
      </c>
      <c r="K66" s="6" t="inlineStr">
        <is>
          <t>لا</t>
        </is>
      </c>
      <c r="L66" s="6" t="inlineStr">
        <is>
          <t>لا</t>
        </is>
      </c>
      <c r="M66" s="6" t="inlineStr">
        <is>
          <t>لا</t>
        </is>
      </c>
      <c r="N66" s="6" t="inlineStr">
        <is>
          <t>لا</t>
        </is>
      </c>
      <c r="O66" s="6" t="inlineStr">
        <is>
          <t>لا</t>
        </is>
      </c>
      <c r="P66" s="7" t="n">
        <v>82450</v>
      </c>
      <c r="Q66" s="7" t="n">
        <v>82450</v>
      </c>
      <c r="R66" s="7" t="n">
        <v>85450</v>
      </c>
      <c r="S66" s="6" t="n">
        <v>4</v>
      </c>
      <c r="T66" s="5" t="inlineStr">
        <is>
          <t>فرع الدمام، فرع جدة</t>
        </is>
      </c>
      <c r="U66" s="9">
        <f>IF('بحث سريع'!$B$3="",TRUE,P66&lt;='بحث سريع'!$B$3)</f>
        <v/>
      </c>
      <c r="V66" s="9">
        <f>IF('بحث سريع'!$B$4="الكل",TRUE,IF('بحث سريع'!$B$4="شبابي",J66="نعم",IF('بحث سريع'!$B$4="عائلي",K66="نعم",IF('بحث سريع'!$B$4="رياضي",L66="نعم",IF('بحث سريع'!$B$4="اقتصادي",M66="نعم",IF('بحث سريع'!$B$4="فاخم",N66="نعم",IF('بحث سريع'!$B$4="عملي",O66="نعم",FALSE)))))))</f>
        <v/>
      </c>
      <c r="W66" s="9">
        <f>IF('بحث سريع'!$B$5="الكل",TRUE,IF('بحث سريع'!$B$5="نعم",H66="نعم",H66="لا"))</f>
        <v/>
      </c>
      <c r="X66" s="9">
        <f>IF('بحث سريع'!$B$6="الكل",TRUE,A66='بحث سريع'!$B$6)</f>
        <v/>
      </c>
      <c r="Y66" s="9">
        <f>IF('بحث سريع'!$B$7="الكل",TRUE,E66='بحث سريع'!$B$7)</f>
        <v/>
      </c>
      <c r="Z66" s="9">
        <f>IF('بحث سريع'!$B$8="",TRUE,ISNUMBER(SEARCH('بحث سريع'!$B$8,A66&amp;" "&amp;B66&amp;" "&amp;C66)))</f>
        <v/>
      </c>
      <c r="AA66" s="9">
        <f>AND(U66:Z66)</f>
        <v/>
      </c>
    </row>
    <row r="67">
      <c r="A67" s="5" t="inlineStr">
        <is>
          <t>Hyundai</t>
        </is>
      </c>
      <c r="B67" s="5" t="inlineStr">
        <is>
          <t>Elantra 1.5L</t>
        </is>
      </c>
      <c r="C67" s="5" t="inlineStr">
        <is>
          <t>Gl Smart</t>
        </is>
      </c>
      <c r="D67" s="6" t="n">
        <v>2026</v>
      </c>
      <c r="E67" s="6" t="inlineStr">
        <is>
          <t>أوتوماتيك</t>
        </is>
      </c>
      <c r="F67" s="6" t="n">
        <v>1.5</v>
      </c>
      <c r="G67" s="6" t="inlineStr">
        <is>
          <t>قماش</t>
        </is>
      </c>
      <c r="H67" s="6" t="inlineStr">
        <is>
          <t>لا</t>
        </is>
      </c>
      <c r="I67" s="5" t="inlineStr">
        <is>
          <t>شبابي</t>
        </is>
      </c>
      <c r="J67" s="6" t="inlineStr">
        <is>
          <t>نعم</t>
        </is>
      </c>
      <c r="K67" s="6" t="inlineStr">
        <is>
          <t>لا</t>
        </is>
      </c>
      <c r="L67" s="6" t="inlineStr">
        <is>
          <t>لا</t>
        </is>
      </c>
      <c r="M67" s="6" t="inlineStr">
        <is>
          <t>لا</t>
        </is>
      </c>
      <c r="N67" s="6" t="inlineStr">
        <is>
          <t>لا</t>
        </is>
      </c>
      <c r="O67" s="6" t="inlineStr">
        <is>
          <t>لا</t>
        </is>
      </c>
      <c r="P67" s="7" t="n">
        <v>77931</v>
      </c>
      <c r="Q67" s="7" t="n">
        <v>77931</v>
      </c>
      <c r="R67" s="7" t="n">
        <v>80931</v>
      </c>
      <c r="S67" s="6" t="n">
        <v>1</v>
      </c>
      <c r="T67" s="5" t="inlineStr">
        <is>
          <t>فرع الدمام</t>
        </is>
      </c>
      <c r="U67" s="9">
        <f>IF('بحث سريع'!$B$3="",TRUE,P67&lt;='بحث سريع'!$B$3)</f>
        <v/>
      </c>
      <c r="V67" s="9">
        <f>IF('بحث سريع'!$B$4="الكل",TRUE,IF('بحث سريع'!$B$4="شبابي",J67="نعم",IF('بحث سريع'!$B$4="عائلي",K67="نعم",IF('بحث سريع'!$B$4="رياضي",L67="نعم",IF('بحث سريع'!$B$4="اقتصادي",M67="نعم",IF('بحث سريع'!$B$4="فاخم",N67="نعم",IF('بحث سريع'!$B$4="عملي",O67="نعم",FALSE)))))))</f>
        <v/>
      </c>
      <c r="W67" s="9">
        <f>IF('بحث سريع'!$B$5="الكل",TRUE,IF('بحث سريع'!$B$5="نعم",H67="نعم",H67="لا"))</f>
        <v/>
      </c>
      <c r="X67" s="9">
        <f>IF('بحث سريع'!$B$6="الكل",TRUE,A67='بحث سريع'!$B$6)</f>
        <v/>
      </c>
      <c r="Y67" s="9">
        <f>IF('بحث سريع'!$B$7="الكل",TRUE,E67='بحث سريع'!$B$7)</f>
        <v/>
      </c>
      <c r="Z67" s="9">
        <f>IF('بحث سريع'!$B$8="",TRUE,ISNUMBER(SEARCH('بحث سريع'!$B$8,A67&amp;" "&amp;B67&amp;" "&amp;C67)))</f>
        <v/>
      </c>
      <c r="AA67" s="9">
        <f>AND(U67:Z67)</f>
        <v/>
      </c>
    </row>
    <row r="68">
      <c r="A68" s="5" t="inlineStr">
        <is>
          <t>Hyundai</t>
        </is>
      </c>
      <c r="B68" s="5" t="inlineStr">
        <is>
          <t>Creta Grand 2.0</t>
        </is>
      </c>
      <c r="C68" s="5" t="inlineStr">
        <is>
          <t>Gl Smart</t>
        </is>
      </c>
      <c r="D68" s="6" t="n">
        <v>2026</v>
      </c>
      <c r="E68" s="6" t="inlineStr">
        <is>
          <t>أوتوماتيك</t>
        </is>
      </c>
      <c r="F68" s="6" t="n">
        <v>2</v>
      </c>
      <c r="G68" s="6" t="inlineStr">
        <is>
          <t>قماش</t>
        </is>
      </c>
      <c r="H68" s="6" t="inlineStr">
        <is>
          <t>لا</t>
        </is>
      </c>
      <c r="I68" s="5" t="inlineStr">
        <is>
          <t>شبابي</t>
        </is>
      </c>
      <c r="J68" s="6" t="inlineStr">
        <is>
          <t>نعم</t>
        </is>
      </c>
      <c r="K68" s="6" t="inlineStr">
        <is>
          <t>لا</t>
        </is>
      </c>
      <c r="L68" s="6" t="inlineStr">
        <is>
          <t>لا</t>
        </is>
      </c>
      <c r="M68" s="6" t="inlineStr">
        <is>
          <t>لا</t>
        </is>
      </c>
      <c r="N68" s="6" t="inlineStr">
        <is>
          <t>لا</t>
        </is>
      </c>
      <c r="O68" s="6" t="inlineStr">
        <is>
          <t>لا</t>
        </is>
      </c>
      <c r="P68" s="7" t="n">
        <v>93375</v>
      </c>
      <c r="Q68" s="7" t="n">
        <v>93375</v>
      </c>
      <c r="R68" s="7" t="n">
        <v>96375</v>
      </c>
      <c r="S68" s="6" t="n">
        <v>5</v>
      </c>
      <c r="T68" s="5" t="inlineStr">
        <is>
          <t>فرع الدمام، فرع الرياض، فرع جدة</t>
        </is>
      </c>
      <c r="U68" s="9">
        <f>IF('بحث سريع'!$B$3="",TRUE,P68&lt;='بحث سريع'!$B$3)</f>
        <v/>
      </c>
      <c r="V68" s="9">
        <f>IF('بحث سريع'!$B$4="الكل",TRUE,IF('بحث سريع'!$B$4="شبابي",J68="نعم",IF('بحث سريع'!$B$4="عائلي",K68="نعم",IF('بحث سريع'!$B$4="رياضي",L68="نعم",IF('بحث سريع'!$B$4="اقتصادي",M68="نعم",IF('بحث سريع'!$B$4="فاخم",N68="نعم",IF('بحث سريع'!$B$4="عملي",O68="نعم",FALSE)))))))</f>
        <v/>
      </c>
      <c r="W68" s="9">
        <f>IF('بحث سريع'!$B$5="الكل",TRUE,IF('بحث سريع'!$B$5="نعم",H68="نعم",H68="لا"))</f>
        <v/>
      </c>
      <c r="X68" s="9">
        <f>IF('بحث سريع'!$B$6="الكل",TRUE,A68='بحث سريع'!$B$6)</f>
        <v/>
      </c>
      <c r="Y68" s="9">
        <f>IF('بحث سريع'!$B$7="الكل",TRUE,E68='بحث سريع'!$B$7)</f>
        <v/>
      </c>
      <c r="Z68" s="9">
        <f>IF('بحث سريع'!$B$8="",TRUE,ISNUMBER(SEARCH('بحث سريع'!$B$8,A68&amp;" "&amp;B68&amp;" "&amp;C68)))</f>
        <v/>
      </c>
      <c r="AA68" s="9">
        <f>AND(U68:Z68)</f>
        <v/>
      </c>
    </row>
    <row r="69">
      <c r="A69" s="5" t="inlineStr">
        <is>
          <t>Hyundai</t>
        </is>
      </c>
      <c r="B69" s="5" t="inlineStr">
        <is>
          <t>CRETA 1.5L</t>
        </is>
      </c>
      <c r="C69" s="5" t="inlineStr">
        <is>
          <t>Gl Smart</t>
        </is>
      </c>
      <c r="D69" s="6" t="n">
        <v>2026</v>
      </c>
      <c r="E69" s="6" t="inlineStr">
        <is>
          <t>أوتوماتيك</t>
        </is>
      </c>
      <c r="F69" s="6" t="n">
        <v>1.5</v>
      </c>
      <c r="G69" s="6" t="inlineStr">
        <is>
          <t>قماش</t>
        </is>
      </c>
      <c r="H69" s="6" t="inlineStr">
        <is>
          <t>لا</t>
        </is>
      </c>
      <c r="I69" s="5" t="inlineStr">
        <is>
          <t>—</t>
        </is>
      </c>
      <c r="J69" s="6" t="inlineStr">
        <is>
          <t>لا</t>
        </is>
      </c>
      <c r="K69" s="6" t="inlineStr">
        <is>
          <t>لا</t>
        </is>
      </c>
      <c r="L69" s="6" t="inlineStr">
        <is>
          <t>لا</t>
        </is>
      </c>
      <c r="M69" s="6" t="inlineStr">
        <is>
          <t>لا</t>
        </is>
      </c>
      <c r="N69" s="6" t="inlineStr">
        <is>
          <t>لا</t>
        </is>
      </c>
      <c r="O69" s="6" t="inlineStr">
        <is>
          <t>لا</t>
        </is>
      </c>
      <c r="P69" s="7" t="n">
        <v>76125</v>
      </c>
      <c r="Q69" s="7" t="n">
        <v>76125</v>
      </c>
      <c r="R69" s="7" t="n">
        <v>79125</v>
      </c>
      <c r="S69" s="6" t="n">
        <v>7</v>
      </c>
      <c r="T69" s="5" t="inlineStr">
        <is>
          <t>شركة، فرع جدة</t>
        </is>
      </c>
      <c r="U69" s="9">
        <f>IF('بحث سريع'!$B$3="",TRUE,P69&lt;='بحث سريع'!$B$3)</f>
        <v/>
      </c>
      <c r="V69" s="9">
        <f>IF('بحث سريع'!$B$4="الكل",TRUE,IF('بحث سريع'!$B$4="شبابي",J69="نعم",IF('بحث سريع'!$B$4="عائلي",K69="نعم",IF('بحث سريع'!$B$4="رياضي",L69="نعم",IF('بحث سريع'!$B$4="اقتصادي",M69="نعم",IF('بحث سريع'!$B$4="فاخم",N69="نعم",IF('بحث سريع'!$B$4="عملي",O69="نعم",FALSE)))))))</f>
        <v/>
      </c>
      <c r="W69" s="9">
        <f>IF('بحث سريع'!$B$5="الكل",TRUE,IF('بحث سريع'!$B$5="نعم",H69="نعم",H69="لا"))</f>
        <v/>
      </c>
      <c r="X69" s="9">
        <f>IF('بحث سريع'!$B$6="الكل",TRUE,A69='بحث سريع'!$B$6)</f>
        <v/>
      </c>
      <c r="Y69" s="9">
        <f>IF('بحث سريع'!$B$7="الكل",TRUE,E69='بحث سريع'!$B$7)</f>
        <v/>
      </c>
      <c r="Z69" s="9">
        <f>IF('بحث سريع'!$B$8="",TRUE,ISNUMBER(SEARCH('بحث سريع'!$B$8,A69&amp;" "&amp;B69&amp;" "&amp;C69)))</f>
        <v/>
      </c>
      <c r="AA69" s="9">
        <f>AND(U69:Z69)</f>
        <v/>
      </c>
    </row>
    <row r="70">
      <c r="A70" s="5" t="inlineStr">
        <is>
          <t>Hyundai</t>
        </is>
      </c>
      <c r="B70" s="5" t="inlineStr">
        <is>
          <t>CRETA 1.5L</t>
        </is>
      </c>
      <c r="C70" s="5" t="inlineStr">
        <is>
          <t>Comfort</t>
        </is>
      </c>
      <c r="D70" s="6" t="n">
        <v>2025</v>
      </c>
      <c r="E70" s="6" t="inlineStr">
        <is>
          <t>أوتوماتيك</t>
        </is>
      </c>
      <c r="F70" s="6" t="n">
        <v>1.5</v>
      </c>
      <c r="G70" s="6" t="inlineStr">
        <is>
          <t>قماش</t>
        </is>
      </c>
      <c r="H70" s="6" t="inlineStr">
        <is>
          <t>نعم</t>
        </is>
      </c>
      <c r="I70" s="5" t="inlineStr">
        <is>
          <t>شبابي</t>
        </is>
      </c>
      <c r="J70" s="6" t="inlineStr">
        <is>
          <t>نعم</t>
        </is>
      </c>
      <c r="K70" s="6" t="inlineStr">
        <is>
          <t>لا</t>
        </is>
      </c>
      <c r="L70" s="6" t="inlineStr">
        <is>
          <t>لا</t>
        </is>
      </c>
      <c r="M70" s="6" t="inlineStr">
        <is>
          <t>لا</t>
        </is>
      </c>
      <c r="N70" s="6" t="inlineStr">
        <is>
          <t>لا</t>
        </is>
      </c>
      <c r="O70" s="6" t="inlineStr">
        <is>
          <t>لا</t>
        </is>
      </c>
      <c r="P70" s="7" t="n">
        <v>84175</v>
      </c>
      <c r="Q70" s="7" t="n">
        <v>84175</v>
      </c>
      <c r="R70" s="7" t="n">
        <v>87175</v>
      </c>
      <c r="S70" s="6" t="n">
        <v>1</v>
      </c>
      <c r="T70" s="5" t="inlineStr">
        <is>
          <t>فرع الرياض</t>
        </is>
      </c>
      <c r="U70" s="9">
        <f>IF('بحث سريع'!$B$3="",TRUE,P70&lt;='بحث سريع'!$B$3)</f>
        <v/>
      </c>
      <c r="V70" s="9">
        <f>IF('بحث سريع'!$B$4="الكل",TRUE,IF('بحث سريع'!$B$4="شبابي",J70="نعم",IF('بحث سريع'!$B$4="عائلي",K70="نعم",IF('بحث سريع'!$B$4="رياضي",L70="نعم",IF('بحث سريع'!$B$4="اقتصادي",M70="نعم",IF('بحث سريع'!$B$4="فاخم",N70="نعم",IF('بحث سريع'!$B$4="عملي",O70="نعم",FALSE)))))))</f>
        <v/>
      </c>
      <c r="W70" s="9">
        <f>IF('بحث سريع'!$B$5="الكل",TRUE,IF('بحث سريع'!$B$5="نعم",H70="نعم",H70="لا"))</f>
        <v/>
      </c>
      <c r="X70" s="9">
        <f>IF('بحث سريع'!$B$6="الكل",TRUE,A70='بحث سريع'!$B$6)</f>
        <v/>
      </c>
      <c r="Y70" s="9">
        <f>IF('بحث سريع'!$B$7="الكل",TRUE,E70='بحث سريع'!$B$7)</f>
        <v/>
      </c>
      <c r="Z70" s="9">
        <f>IF('بحث سريع'!$B$8="",TRUE,ISNUMBER(SEARCH('بحث سريع'!$B$8,A70&amp;" "&amp;B70&amp;" "&amp;C70)))</f>
        <v/>
      </c>
      <c r="AA70" s="9">
        <f>AND(U70:Z70)</f>
        <v/>
      </c>
    </row>
    <row r="71">
      <c r="A71" s="5" t="inlineStr">
        <is>
          <t>Hyundai</t>
        </is>
      </c>
      <c r="B71" s="5" t="inlineStr">
        <is>
          <t>ACCENT 1.5L</t>
        </is>
      </c>
      <c r="C71" s="5" t="inlineStr">
        <is>
          <t>Fleet</t>
        </is>
      </c>
      <c r="D71" s="6" t="n">
        <v>2026</v>
      </c>
      <c r="E71" s="6" t="inlineStr">
        <is>
          <t>أوتوماتيك</t>
        </is>
      </c>
      <c r="F71" s="6" t="n">
        <v>1.5</v>
      </c>
      <c r="G71" s="6" t="inlineStr">
        <is>
          <t>قماش</t>
        </is>
      </c>
      <c r="H71" s="6" t="inlineStr">
        <is>
          <t>لا</t>
        </is>
      </c>
      <c r="I71" s="5" t="inlineStr">
        <is>
          <t>اقتصادي، عملي</t>
        </is>
      </c>
      <c r="J71" s="6" t="inlineStr">
        <is>
          <t>لا</t>
        </is>
      </c>
      <c r="K71" s="6" t="inlineStr">
        <is>
          <t>لا</t>
        </is>
      </c>
      <c r="L71" s="6" t="inlineStr">
        <is>
          <t>لا</t>
        </is>
      </c>
      <c r="M71" s="6" t="inlineStr">
        <is>
          <t>نعم</t>
        </is>
      </c>
      <c r="N71" s="6" t="inlineStr">
        <is>
          <t>لا</t>
        </is>
      </c>
      <c r="O71" s="6" t="inlineStr">
        <is>
          <t>نعم</t>
        </is>
      </c>
      <c r="P71" s="7" t="n">
        <v>62900</v>
      </c>
      <c r="Q71" s="7" t="n">
        <v>66431</v>
      </c>
      <c r="R71" s="7" t="n">
        <v>65900</v>
      </c>
      <c r="S71" s="6" t="n">
        <v>3</v>
      </c>
      <c r="T71" s="5" t="inlineStr">
        <is>
          <t>طويق، فرع الدمام، فرع الرياض</t>
        </is>
      </c>
      <c r="U71" s="9">
        <f>IF('بحث سريع'!$B$3="",TRUE,P71&lt;='بحث سريع'!$B$3)</f>
        <v/>
      </c>
      <c r="V71" s="9">
        <f>IF('بحث سريع'!$B$4="الكل",TRUE,IF('بحث سريع'!$B$4="شبابي",J71="نعم",IF('بحث سريع'!$B$4="عائلي",K71="نعم",IF('بحث سريع'!$B$4="رياضي",L71="نعم",IF('بحث سريع'!$B$4="اقتصادي",M71="نعم",IF('بحث سريع'!$B$4="فاخم",N71="نعم",IF('بحث سريع'!$B$4="عملي",O71="نعم",FALSE)))))))</f>
        <v/>
      </c>
      <c r="W71" s="9">
        <f>IF('بحث سريع'!$B$5="الكل",TRUE,IF('بحث سريع'!$B$5="نعم",H71="نعم",H71="لا"))</f>
        <v/>
      </c>
      <c r="X71" s="9">
        <f>IF('بحث سريع'!$B$6="الكل",TRUE,A71='بحث سريع'!$B$6)</f>
        <v/>
      </c>
      <c r="Y71" s="9">
        <f>IF('بحث سريع'!$B$7="الكل",TRUE,E71='بحث سريع'!$B$7)</f>
        <v/>
      </c>
      <c r="Z71" s="9">
        <f>IF('بحث سريع'!$B$8="",TRUE,ISNUMBER(SEARCH('بحث سريع'!$B$8,A71&amp;" "&amp;B71&amp;" "&amp;C71)))</f>
        <v/>
      </c>
      <c r="AA71" s="9">
        <f>AND(U71:Z71)</f>
        <v/>
      </c>
    </row>
    <row r="72">
      <c r="A72" s="5" t="inlineStr">
        <is>
          <t>Honda</t>
        </is>
      </c>
      <c r="B72" s="5" t="inlineStr">
        <is>
          <t>ZR-V 1.5</t>
        </is>
      </c>
      <c r="C72" s="5" t="inlineStr">
        <is>
          <t>Lx</t>
        </is>
      </c>
      <c r="D72" s="6" t="n">
        <v>2024</v>
      </c>
      <c r="E72" s="6" t="inlineStr">
        <is>
          <t>أوتوماتيك</t>
        </is>
      </c>
      <c r="F72" s="6" t="n">
        <v>1.5</v>
      </c>
      <c r="G72" s="6" t="inlineStr">
        <is>
          <t>قماش</t>
        </is>
      </c>
      <c r="H72" s="6" t="inlineStr">
        <is>
          <t>لا</t>
        </is>
      </c>
      <c r="I72" s="5" t="inlineStr">
        <is>
          <t>اقتصادي، عملي</t>
        </is>
      </c>
      <c r="J72" s="6" t="inlineStr">
        <is>
          <t>لا</t>
        </is>
      </c>
      <c r="K72" s="6" t="inlineStr">
        <is>
          <t>لا</t>
        </is>
      </c>
      <c r="L72" s="6" t="inlineStr">
        <is>
          <t>لا</t>
        </is>
      </c>
      <c r="M72" s="6" t="inlineStr">
        <is>
          <t>نعم</t>
        </is>
      </c>
      <c r="N72" s="6" t="inlineStr">
        <is>
          <t>لا</t>
        </is>
      </c>
      <c r="O72" s="6" t="inlineStr">
        <is>
          <t>نعم</t>
        </is>
      </c>
      <c r="P72" s="7" t="n">
        <v>93341</v>
      </c>
      <c r="Q72" s="7" t="n">
        <v>93341</v>
      </c>
      <c r="R72" s="7" t="n">
        <v>96341</v>
      </c>
      <c r="S72" s="6" t="n">
        <v>1</v>
      </c>
      <c r="T72" s="5" t="inlineStr">
        <is>
          <t>فرع جدة</t>
        </is>
      </c>
      <c r="U72" s="9">
        <f>IF('بحث سريع'!$B$3="",TRUE,P72&lt;='بحث سريع'!$B$3)</f>
        <v/>
      </c>
      <c r="V72" s="9">
        <f>IF('بحث سريع'!$B$4="الكل",TRUE,IF('بحث سريع'!$B$4="شبابي",J72="نعم",IF('بحث سريع'!$B$4="عائلي",K72="نعم",IF('بحث سريع'!$B$4="رياضي",L72="نعم",IF('بحث سريع'!$B$4="اقتصادي",M72="نعم",IF('بحث سريع'!$B$4="فاخم",N72="نعم",IF('بحث سريع'!$B$4="عملي",O72="نعم",FALSE)))))))</f>
        <v/>
      </c>
      <c r="W72" s="9">
        <f>IF('بحث سريع'!$B$5="الكل",TRUE,IF('بحث سريع'!$B$5="نعم",H72="نعم",H72="لا"))</f>
        <v/>
      </c>
      <c r="X72" s="9">
        <f>IF('بحث سريع'!$B$6="الكل",TRUE,A72='بحث سريع'!$B$6)</f>
        <v/>
      </c>
      <c r="Y72" s="9">
        <f>IF('بحث سريع'!$B$7="الكل",TRUE,E72='بحث سريع'!$B$7)</f>
        <v/>
      </c>
      <c r="Z72" s="9">
        <f>IF('بحث سريع'!$B$8="",TRUE,ISNUMBER(SEARCH('بحث سريع'!$B$8,A72&amp;" "&amp;B72&amp;" "&amp;C72)))</f>
        <v/>
      </c>
      <c r="AA72" s="9">
        <f>AND(U72:Z72)</f>
        <v/>
      </c>
    </row>
    <row r="73">
      <c r="A73" s="5" t="inlineStr">
        <is>
          <t>Haval</t>
        </is>
      </c>
      <c r="B73" s="5" t="inlineStr">
        <is>
          <t>JOLION</t>
        </is>
      </c>
      <c r="C73" s="5" t="inlineStr">
        <is>
          <t>Active Plus</t>
        </is>
      </c>
      <c r="D73" s="6" t="n">
        <v>2027</v>
      </c>
      <c r="E73" s="6" t="inlineStr">
        <is>
          <t>أوتوماتيك</t>
        </is>
      </c>
      <c r="F73" s="6" t="n">
        <v>1.5</v>
      </c>
      <c r="G73" s="6" t="inlineStr">
        <is>
          <t>جلد</t>
        </is>
      </c>
      <c r="H73" s="6" t="inlineStr">
        <is>
          <t>لا</t>
        </is>
      </c>
      <c r="I73" s="5" t="inlineStr">
        <is>
          <t>فاخم</t>
        </is>
      </c>
      <c r="J73" s="6" t="inlineStr">
        <is>
          <t>لا</t>
        </is>
      </c>
      <c r="K73" s="6" t="inlineStr">
        <is>
          <t>لا</t>
        </is>
      </c>
      <c r="L73" s="6" t="inlineStr">
        <is>
          <t>لا</t>
        </is>
      </c>
      <c r="M73" s="6" t="inlineStr">
        <is>
          <t>لا</t>
        </is>
      </c>
      <c r="N73" s="6" t="inlineStr">
        <is>
          <t>نعم</t>
        </is>
      </c>
      <c r="O73" s="6" t="inlineStr">
        <is>
          <t>لا</t>
        </is>
      </c>
      <c r="P73" s="7" t="n">
        <v>74003</v>
      </c>
      <c r="Q73" s="7" t="n">
        <v>74003</v>
      </c>
      <c r="R73" s="7" t="n">
        <v>77003</v>
      </c>
      <c r="S73" s="6" t="n">
        <v>2</v>
      </c>
      <c r="T73" s="5" t="inlineStr">
        <is>
          <t>فرع الرياض، فرع جدة</t>
        </is>
      </c>
      <c r="U73" s="9">
        <f>IF('بحث سريع'!$B$3="",TRUE,P73&lt;='بحث سريع'!$B$3)</f>
        <v/>
      </c>
      <c r="V73" s="9">
        <f>IF('بحث سريع'!$B$4="الكل",TRUE,IF('بحث سريع'!$B$4="شبابي",J73="نعم",IF('بحث سريع'!$B$4="عائلي",K73="نعم",IF('بحث سريع'!$B$4="رياضي",L73="نعم",IF('بحث سريع'!$B$4="اقتصادي",M73="نعم",IF('بحث سريع'!$B$4="فاخم",N73="نعم",IF('بحث سريع'!$B$4="عملي",O73="نعم",FALSE)))))))</f>
        <v/>
      </c>
      <c r="W73" s="9">
        <f>IF('بحث سريع'!$B$5="الكل",TRUE,IF('بحث سريع'!$B$5="نعم",H73="نعم",H73="لا"))</f>
        <v/>
      </c>
      <c r="X73" s="9">
        <f>IF('بحث سريع'!$B$6="الكل",TRUE,A73='بحث سريع'!$B$6)</f>
        <v/>
      </c>
      <c r="Y73" s="9">
        <f>IF('بحث سريع'!$B$7="الكل",TRUE,E73='بحث سريع'!$B$7)</f>
        <v/>
      </c>
      <c r="Z73" s="9">
        <f>IF('بحث سريع'!$B$8="",TRUE,ISNUMBER(SEARCH('بحث سريع'!$B$8,A73&amp;" "&amp;B73&amp;" "&amp;C73)))</f>
        <v/>
      </c>
      <c r="AA73" s="9">
        <f>AND(U73:Z73)</f>
        <v/>
      </c>
    </row>
    <row r="74">
      <c r="A74" s="5" t="inlineStr">
        <is>
          <t>Haval</t>
        </is>
      </c>
      <c r="B74" s="5" t="inlineStr">
        <is>
          <t>H7</t>
        </is>
      </c>
      <c r="C74" s="5" t="inlineStr">
        <is>
          <t>Adventure</t>
        </is>
      </c>
      <c r="D74" s="6" t="n">
        <v>2026</v>
      </c>
      <c r="E74" s="6" t="inlineStr">
        <is>
          <t>أوتوماتيك</t>
        </is>
      </c>
      <c r="F74" s="6" t="n">
        <v>2</v>
      </c>
      <c r="G74" s="6" t="inlineStr">
        <is>
          <t>جلد</t>
        </is>
      </c>
      <c r="H74" s="6" t="inlineStr">
        <is>
          <t>نعم</t>
        </is>
      </c>
      <c r="I74" s="5" t="inlineStr">
        <is>
          <t>عائلي</t>
        </is>
      </c>
      <c r="J74" s="6" t="inlineStr">
        <is>
          <t>لا</t>
        </is>
      </c>
      <c r="K74" s="6" t="inlineStr">
        <is>
          <t>نعم</t>
        </is>
      </c>
      <c r="L74" s="6" t="inlineStr">
        <is>
          <t>لا</t>
        </is>
      </c>
      <c r="M74" s="6" t="inlineStr">
        <is>
          <t>لا</t>
        </is>
      </c>
      <c r="N74" s="6" t="inlineStr">
        <is>
          <t>لا</t>
        </is>
      </c>
      <c r="O74" s="6" t="inlineStr">
        <is>
          <t>لا</t>
        </is>
      </c>
      <c r="P74" s="7" t="n">
        <v>103501</v>
      </c>
      <c r="Q74" s="7" t="n">
        <v>103501</v>
      </c>
      <c r="R74" s="7" t="n">
        <v>106501</v>
      </c>
      <c r="S74" s="6" t="n">
        <v>5</v>
      </c>
      <c r="T74" s="5" t="inlineStr">
        <is>
          <t>شركة، فرع الدمام، فرع جدة</t>
        </is>
      </c>
      <c r="U74" s="9">
        <f>IF('بحث سريع'!$B$3="",TRUE,P74&lt;='بحث سريع'!$B$3)</f>
        <v/>
      </c>
      <c r="V74" s="9">
        <f>IF('بحث سريع'!$B$4="الكل",TRUE,IF('بحث سريع'!$B$4="شبابي",J74="نعم",IF('بحث سريع'!$B$4="عائلي",K74="نعم",IF('بحث سريع'!$B$4="رياضي",L74="نعم",IF('بحث سريع'!$B$4="اقتصادي",M74="نعم",IF('بحث سريع'!$B$4="فاخم",N74="نعم",IF('بحث سريع'!$B$4="عملي",O74="نعم",FALSE)))))))</f>
        <v/>
      </c>
      <c r="W74" s="9">
        <f>IF('بحث سريع'!$B$5="الكل",TRUE,IF('بحث سريع'!$B$5="نعم",H74="نعم",H74="لا"))</f>
        <v/>
      </c>
      <c r="X74" s="9">
        <f>IF('بحث سريع'!$B$6="الكل",TRUE,A74='بحث سريع'!$B$6)</f>
        <v/>
      </c>
      <c r="Y74" s="9">
        <f>IF('بحث سريع'!$B$7="الكل",TRUE,E74='بحث سريع'!$B$7)</f>
        <v/>
      </c>
      <c r="Z74" s="9">
        <f>IF('بحث سريع'!$B$8="",TRUE,ISNUMBER(SEARCH('بحث سريع'!$B$8,A74&amp;" "&amp;B74&amp;" "&amp;C74)))</f>
        <v/>
      </c>
      <c r="AA74" s="9">
        <f>AND(U74:Z74)</f>
        <v/>
      </c>
    </row>
    <row r="75">
      <c r="A75" s="5" t="inlineStr">
        <is>
          <t>Great Wall</t>
        </is>
      </c>
      <c r="B75" s="5" t="inlineStr">
        <is>
          <t>WINGLE 5</t>
        </is>
      </c>
      <c r="C75" s="5" t="inlineStr">
        <is>
          <t>Luxury</t>
        </is>
      </c>
      <c r="D75" s="6" t="n">
        <v>2026</v>
      </c>
      <c r="E75" s="6" t="inlineStr">
        <is>
          <t>يدوي</t>
        </is>
      </c>
      <c r="F75" s="6" t="n">
        <v>2</v>
      </c>
      <c r="G75" s="6" t="inlineStr">
        <is>
          <t>قماش</t>
        </is>
      </c>
      <c r="H75" s="6" t="inlineStr">
        <is>
          <t>لا</t>
        </is>
      </c>
      <c r="I75" s="5" t="inlineStr">
        <is>
          <t>عملي</t>
        </is>
      </c>
      <c r="J75" s="6" t="inlineStr">
        <is>
          <t>لا</t>
        </is>
      </c>
      <c r="K75" s="6" t="inlineStr">
        <is>
          <t>لا</t>
        </is>
      </c>
      <c r="L75" s="6" t="inlineStr">
        <is>
          <t>لا</t>
        </is>
      </c>
      <c r="M75" s="6" t="inlineStr">
        <is>
          <t>لا</t>
        </is>
      </c>
      <c r="N75" s="6" t="inlineStr">
        <is>
          <t>لا</t>
        </is>
      </c>
      <c r="O75" s="6" t="inlineStr">
        <is>
          <t>نعم</t>
        </is>
      </c>
      <c r="P75" s="7" t="n">
        <v>54735</v>
      </c>
      <c r="Q75" s="7" t="n">
        <v>54735</v>
      </c>
      <c r="R75" s="7" t="n">
        <v>57735</v>
      </c>
      <c r="S75" s="6" t="n">
        <v>1</v>
      </c>
      <c r="T75" s="5" t="inlineStr">
        <is>
          <t>الى فرع الدمام</t>
        </is>
      </c>
      <c r="U75" s="9">
        <f>IF('بحث سريع'!$B$3="",TRUE,P75&lt;='بحث سريع'!$B$3)</f>
        <v/>
      </c>
      <c r="V75" s="9">
        <f>IF('بحث سريع'!$B$4="الكل",TRUE,IF('بحث سريع'!$B$4="شبابي",J75="نعم",IF('بحث سريع'!$B$4="عائلي",K75="نعم",IF('بحث سريع'!$B$4="رياضي",L75="نعم",IF('بحث سريع'!$B$4="اقتصادي",M75="نعم",IF('بحث سريع'!$B$4="فاخم",N75="نعم",IF('بحث سريع'!$B$4="عملي",O75="نعم",FALSE)))))))</f>
        <v/>
      </c>
      <c r="W75" s="9">
        <f>IF('بحث سريع'!$B$5="الكل",TRUE,IF('بحث سريع'!$B$5="نعم",H75="نعم",H75="لا"))</f>
        <v/>
      </c>
      <c r="X75" s="9">
        <f>IF('بحث سريع'!$B$6="الكل",TRUE,A75='بحث سريع'!$B$6)</f>
        <v/>
      </c>
      <c r="Y75" s="9">
        <f>IF('بحث سريع'!$B$7="الكل",TRUE,E75='بحث سريع'!$B$7)</f>
        <v/>
      </c>
      <c r="Z75" s="9">
        <f>IF('بحث سريع'!$B$8="",TRUE,ISNUMBER(SEARCH('بحث سريع'!$B$8,A75&amp;" "&amp;B75&amp;" "&amp;C75)))</f>
        <v/>
      </c>
      <c r="AA75" s="9">
        <f>AND(U75:Z75)</f>
        <v/>
      </c>
    </row>
    <row r="76">
      <c r="A76" s="5" t="inlineStr">
        <is>
          <t>GAC</t>
        </is>
      </c>
      <c r="B76" s="5" t="inlineStr">
        <is>
          <t>GS3 EMZOOM</t>
        </is>
      </c>
      <c r="C76" s="5" t="inlineStr">
        <is>
          <t>Gl Plus</t>
        </is>
      </c>
      <c r="D76" s="6" t="n">
        <v>2026</v>
      </c>
      <c r="E76" s="6" t="inlineStr">
        <is>
          <t>أوتوماتيك</t>
        </is>
      </c>
      <c r="F76" s="6" t="n">
        <v>1.5</v>
      </c>
      <c r="G76" s="6" t="inlineStr">
        <is>
          <t>جلد</t>
        </is>
      </c>
      <c r="H76" s="6" t="inlineStr">
        <is>
          <t>نعم</t>
        </is>
      </c>
      <c r="I76" s="5" t="inlineStr">
        <is>
          <t>شبابي</t>
        </is>
      </c>
      <c r="J76" s="6" t="inlineStr">
        <is>
          <t>نعم</t>
        </is>
      </c>
      <c r="K76" s="6" t="inlineStr">
        <is>
          <t>لا</t>
        </is>
      </c>
      <c r="L76" s="6" t="inlineStr">
        <is>
          <t>لا</t>
        </is>
      </c>
      <c r="M76" s="6" t="inlineStr">
        <is>
          <t>لا</t>
        </is>
      </c>
      <c r="N76" s="6" t="inlineStr">
        <is>
          <t>لا</t>
        </is>
      </c>
      <c r="O76" s="6" t="inlineStr">
        <is>
          <t>لا</t>
        </is>
      </c>
      <c r="P76" s="7" t="n">
        <v>65292</v>
      </c>
      <c r="Q76" s="7" t="n">
        <v>67584</v>
      </c>
      <c r="R76" s="7" t="n">
        <v>68292</v>
      </c>
      <c r="S76" s="6" t="n">
        <v>21</v>
      </c>
      <c r="T76" s="5" t="inlineStr">
        <is>
          <t>ار موتورز، الى فرع الدمام، حى المروة، فرع الدمام، فرع الرياض، فرع جدة، مستودع الدمام، معرض الموتر العريق</t>
        </is>
      </c>
      <c r="U76" s="9">
        <f>IF('بحث سريع'!$B$3="",TRUE,P76&lt;='بحث سريع'!$B$3)</f>
        <v/>
      </c>
      <c r="V76" s="9">
        <f>IF('بحث سريع'!$B$4="الكل",TRUE,IF('بحث سريع'!$B$4="شبابي",J76="نعم",IF('بحث سريع'!$B$4="عائلي",K76="نعم",IF('بحث سريع'!$B$4="رياضي",L76="نعم",IF('بحث سريع'!$B$4="اقتصادي",M76="نعم",IF('بحث سريع'!$B$4="فاخم",N76="نعم",IF('بحث سريع'!$B$4="عملي",O76="نعم",FALSE)))))))</f>
        <v/>
      </c>
      <c r="W76" s="9">
        <f>IF('بحث سريع'!$B$5="الكل",TRUE,IF('بحث سريع'!$B$5="نعم",H76="نعم",H76="لا"))</f>
        <v/>
      </c>
      <c r="X76" s="9">
        <f>IF('بحث سريع'!$B$6="الكل",TRUE,A76='بحث سريع'!$B$6)</f>
        <v/>
      </c>
      <c r="Y76" s="9">
        <f>IF('بحث سريع'!$B$7="الكل",TRUE,E76='بحث سريع'!$B$7)</f>
        <v/>
      </c>
      <c r="Z76" s="9">
        <f>IF('بحث سريع'!$B$8="",TRUE,ISNUMBER(SEARCH('بحث سريع'!$B$8,A76&amp;" "&amp;B76&amp;" "&amp;C76)))</f>
        <v/>
      </c>
      <c r="AA76" s="9">
        <f>AND(U76:Z76)</f>
        <v/>
      </c>
    </row>
    <row r="77">
      <c r="A77" s="5" t="inlineStr">
        <is>
          <t>GAC</t>
        </is>
      </c>
      <c r="B77" s="5" t="inlineStr">
        <is>
          <t>GS3 EMZOOM</t>
        </is>
      </c>
      <c r="C77" s="5" t="inlineStr">
        <is>
          <t>Gb</t>
        </is>
      </c>
      <c r="D77" s="6" t="n">
        <v>2026</v>
      </c>
      <c r="E77" s="6" t="inlineStr">
        <is>
          <t>أوتوماتيك</t>
        </is>
      </c>
      <c r="F77" s="6" t="n">
        <v>1.5</v>
      </c>
      <c r="G77" s="6" t="inlineStr">
        <is>
          <t>جلد</t>
        </is>
      </c>
      <c r="H77" s="6" t="inlineStr">
        <is>
          <t>نعم</t>
        </is>
      </c>
      <c r="I77" s="5" t="inlineStr">
        <is>
          <t>شبابي</t>
        </is>
      </c>
      <c r="J77" s="6" t="inlineStr">
        <is>
          <t>نعم</t>
        </is>
      </c>
      <c r="K77" s="6" t="inlineStr">
        <is>
          <t>لا</t>
        </is>
      </c>
      <c r="L77" s="6" t="inlineStr">
        <is>
          <t>لا</t>
        </is>
      </c>
      <c r="M77" s="6" t="inlineStr">
        <is>
          <t>لا</t>
        </is>
      </c>
      <c r="N77" s="6" t="inlineStr">
        <is>
          <t>لا</t>
        </is>
      </c>
      <c r="O77" s="6" t="inlineStr">
        <is>
          <t>لا</t>
        </is>
      </c>
      <c r="P77" s="7" t="n">
        <v>61278</v>
      </c>
      <c r="Q77" s="7" t="n">
        <v>61278</v>
      </c>
      <c r="R77" s="7" t="n">
        <v>64278</v>
      </c>
      <c r="S77" s="6" t="n">
        <v>14</v>
      </c>
      <c r="T77" s="5" t="inlineStr">
        <is>
          <t>الخضر، حى المروة، سطوع الشمس، فرع الدمام، فرع الرياض، معرض الموتر العريق، معرض خالد</t>
        </is>
      </c>
      <c r="U77" s="9">
        <f>IF('بحث سريع'!$B$3="",TRUE,P77&lt;='بحث سريع'!$B$3)</f>
        <v/>
      </c>
      <c r="V77" s="9">
        <f>IF('بحث سريع'!$B$4="الكل",TRUE,IF('بحث سريع'!$B$4="شبابي",J77="نعم",IF('بحث سريع'!$B$4="عائلي",K77="نعم",IF('بحث سريع'!$B$4="رياضي",L77="نعم",IF('بحث سريع'!$B$4="اقتصادي",M77="نعم",IF('بحث سريع'!$B$4="فاخم",N77="نعم",IF('بحث سريع'!$B$4="عملي",O77="نعم",FALSE)))))))</f>
        <v/>
      </c>
      <c r="W77" s="9">
        <f>IF('بحث سريع'!$B$5="الكل",TRUE,IF('بحث سريع'!$B$5="نعم",H77="نعم",H77="لا"))</f>
        <v/>
      </c>
      <c r="X77" s="9">
        <f>IF('بحث سريع'!$B$6="الكل",TRUE,A77='بحث سريع'!$B$6)</f>
        <v/>
      </c>
      <c r="Y77" s="9">
        <f>IF('بحث سريع'!$B$7="الكل",TRUE,E77='بحث سريع'!$B$7)</f>
        <v/>
      </c>
      <c r="Z77" s="9">
        <f>IF('بحث سريع'!$B$8="",TRUE,ISNUMBER(SEARCH('بحث سريع'!$B$8,A77&amp;" "&amp;B77&amp;" "&amp;C77)))</f>
        <v/>
      </c>
      <c r="AA77" s="9">
        <f>AND(U77:Z77)</f>
        <v/>
      </c>
    </row>
    <row r="78">
      <c r="A78" s="5" t="inlineStr">
        <is>
          <t>GAC</t>
        </is>
      </c>
      <c r="B78" s="5" t="inlineStr">
        <is>
          <t>EMPOW 2.0L</t>
        </is>
      </c>
      <c r="C78" s="5" t="inlineStr">
        <is>
          <t>R - Sport</t>
        </is>
      </c>
      <c r="D78" s="6" t="n">
        <v>2026</v>
      </c>
      <c r="E78" s="6" t="inlineStr">
        <is>
          <t>أوتوماتيك</t>
        </is>
      </c>
      <c r="F78" s="6" t="n">
        <v>2</v>
      </c>
      <c r="G78" s="6" t="inlineStr">
        <is>
          <t>جلد</t>
        </is>
      </c>
      <c r="H78" s="6" t="inlineStr">
        <is>
          <t>نعم</t>
        </is>
      </c>
      <c r="I78" s="5" t="inlineStr">
        <is>
          <t>شبابي، رياضي</t>
        </is>
      </c>
      <c r="J78" s="6" t="inlineStr">
        <is>
          <t>نعم</t>
        </is>
      </c>
      <c r="K78" s="6" t="inlineStr">
        <is>
          <t>لا</t>
        </is>
      </c>
      <c r="L78" s="6" t="inlineStr">
        <is>
          <t>نعم</t>
        </is>
      </c>
      <c r="M78" s="6" t="inlineStr">
        <is>
          <t>لا</t>
        </is>
      </c>
      <c r="N78" s="6" t="inlineStr">
        <is>
          <t>لا</t>
        </is>
      </c>
      <c r="O78" s="6" t="inlineStr">
        <is>
          <t>لا</t>
        </is>
      </c>
      <c r="P78" s="7" t="n">
        <v>88752</v>
      </c>
      <c r="Q78" s="7" t="n">
        <v>88752</v>
      </c>
      <c r="R78" s="7" t="n">
        <v>91752</v>
      </c>
      <c r="S78" s="6" t="n">
        <v>14</v>
      </c>
      <c r="T78" s="5" t="inlineStr">
        <is>
          <t>ار موتورز، شركة، فرع الدمام</t>
        </is>
      </c>
      <c r="U78" s="9">
        <f>IF('بحث سريع'!$B$3="",TRUE,P78&lt;='بحث سريع'!$B$3)</f>
        <v/>
      </c>
      <c r="V78" s="9">
        <f>IF('بحث سريع'!$B$4="الكل",TRUE,IF('بحث سريع'!$B$4="شبابي",J78="نعم",IF('بحث سريع'!$B$4="عائلي",K78="نعم",IF('بحث سريع'!$B$4="رياضي",L78="نعم",IF('بحث سريع'!$B$4="اقتصادي",M78="نعم",IF('بحث سريع'!$B$4="فاخم",N78="نعم",IF('بحث سريع'!$B$4="عملي",O78="نعم",FALSE)))))))</f>
        <v/>
      </c>
      <c r="W78" s="9">
        <f>IF('بحث سريع'!$B$5="الكل",TRUE,IF('بحث سريع'!$B$5="نعم",H78="نعم",H78="لا"))</f>
        <v/>
      </c>
      <c r="X78" s="9">
        <f>IF('بحث سريع'!$B$6="الكل",TRUE,A78='بحث سريع'!$B$6)</f>
        <v/>
      </c>
      <c r="Y78" s="9">
        <f>IF('بحث سريع'!$B$7="الكل",TRUE,E78='بحث سريع'!$B$7)</f>
        <v/>
      </c>
      <c r="Z78" s="9">
        <f>IF('بحث سريع'!$B$8="",TRUE,ISNUMBER(SEARCH('بحث سريع'!$B$8,A78&amp;" "&amp;B78&amp;" "&amp;C78)))</f>
        <v/>
      </c>
      <c r="AA78" s="9">
        <f>AND(U78:Z78)</f>
        <v/>
      </c>
    </row>
    <row r="79">
      <c r="A79" s="5" t="inlineStr">
        <is>
          <t>GAC</t>
        </is>
      </c>
      <c r="B79" s="5" t="inlineStr">
        <is>
          <t>EMPOW 1.5T</t>
        </is>
      </c>
      <c r="C79" s="5" t="inlineStr">
        <is>
          <t>Ge</t>
        </is>
      </c>
      <c r="D79" s="6" t="n">
        <v>2026</v>
      </c>
      <c r="E79" s="6" t="inlineStr">
        <is>
          <t>أوتوماتيك</t>
        </is>
      </c>
      <c r="F79" s="6" t="n">
        <v>1.5</v>
      </c>
      <c r="G79" s="6" t="inlineStr">
        <is>
          <t>جلد</t>
        </is>
      </c>
      <c r="H79" s="6" t="inlineStr">
        <is>
          <t>نعم</t>
        </is>
      </c>
      <c r="I79" s="5" t="inlineStr">
        <is>
          <t>شبابي</t>
        </is>
      </c>
      <c r="J79" s="6" t="inlineStr">
        <is>
          <t>نعم</t>
        </is>
      </c>
      <c r="K79" s="6" t="inlineStr">
        <is>
          <t>لا</t>
        </is>
      </c>
      <c r="L79" s="6" t="inlineStr">
        <is>
          <t>لا</t>
        </is>
      </c>
      <c r="M79" s="6" t="inlineStr">
        <is>
          <t>لا</t>
        </is>
      </c>
      <c r="N79" s="6" t="inlineStr">
        <is>
          <t>لا</t>
        </is>
      </c>
      <c r="O79" s="6" t="inlineStr">
        <is>
          <t>لا</t>
        </is>
      </c>
      <c r="P79" s="7" t="n">
        <v>61845</v>
      </c>
      <c r="Q79" s="7" t="n">
        <v>61845</v>
      </c>
      <c r="R79" s="7" t="n">
        <v>64845</v>
      </c>
      <c r="S79" s="6" t="n">
        <v>5</v>
      </c>
      <c r="T79" s="5" t="inlineStr">
        <is>
          <t>سطوع الشمس، شركة، معرض الموتر العريق</t>
        </is>
      </c>
      <c r="U79" s="9">
        <f>IF('بحث سريع'!$B$3="",TRUE,P79&lt;='بحث سريع'!$B$3)</f>
        <v/>
      </c>
      <c r="V79" s="9">
        <f>IF('بحث سريع'!$B$4="الكل",TRUE,IF('بحث سريع'!$B$4="شبابي",J79="نعم",IF('بحث سريع'!$B$4="عائلي",K79="نعم",IF('بحث سريع'!$B$4="رياضي",L79="نعم",IF('بحث سريع'!$B$4="اقتصادي",M79="نعم",IF('بحث سريع'!$B$4="فاخم",N79="نعم",IF('بحث سريع'!$B$4="عملي",O79="نعم",FALSE)))))))</f>
        <v/>
      </c>
      <c r="W79" s="9">
        <f>IF('بحث سريع'!$B$5="الكل",TRUE,IF('بحث سريع'!$B$5="نعم",H79="نعم",H79="لا"))</f>
        <v/>
      </c>
      <c r="X79" s="9">
        <f>IF('بحث سريع'!$B$6="الكل",TRUE,A79='بحث سريع'!$B$6)</f>
        <v/>
      </c>
      <c r="Y79" s="9">
        <f>IF('بحث سريع'!$B$7="الكل",TRUE,E79='بحث سريع'!$B$7)</f>
        <v/>
      </c>
      <c r="Z79" s="9">
        <f>IF('بحث سريع'!$B$8="",TRUE,ISNUMBER(SEARCH('بحث سريع'!$B$8,A79&amp;" "&amp;B79&amp;" "&amp;C79)))</f>
        <v/>
      </c>
      <c r="AA79" s="9">
        <f>AND(U79:Z79)</f>
        <v/>
      </c>
    </row>
    <row r="80">
      <c r="A80" s="5" t="inlineStr">
        <is>
          <t>GAC</t>
        </is>
      </c>
      <c r="B80" s="5" t="inlineStr">
        <is>
          <t>EMKOO</t>
        </is>
      </c>
      <c r="C80" s="5" t="inlineStr">
        <is>
          <t>Gl</t>
        </is>
      </c>
      <c r="D80" s="6" t="n">
        <v>2026</v>
      </c>
      <c r="E80" s="6" t="inlineStr">
        <is>
          <t>أوتوماتيك</t>
        </is>
      </c>
      <c r="F80" s="6" t="n">
        <v>1.5</v>
      </c>
      <c r="G80" s="6" t="inlineStr">
        <is>
          <t>جلد</t>
        </is>
      </c>
      <c r="H80" s="6" t="inlineStr">
        <is>
          <t>لا</t>
        </is>
      </c>
      <c r="I80" s="5" t="inlineStr">
        <is>
          <t>عائلي، عملي</t>
        </is>
      </c>
      <c r="J80" s="6" t="inlineStr">
        <is>
          <t>لا</t>
        </is>
      </c>
      <c r="K80" s="6" t="inlineStr">
        <is>
          <t>نعم</t>
        </is>
      </c>
      <c r="L80" s="6" t="inlineStr">
        <is>
          <t>لا</t>
        </is>
      </c>
      <c r="M80" s="6" t="inlineStr">
        <is>
          <t>لا</t>
        </is>
      </c>
      <c r="N80" s="6" t="inlineStr">
        <is>
          <t>لا</t>
        </is>
      </c>
      <c r="O80" s="6" t="inlineStr">
        <is>
          <t>نعم</t>
        </is>
      </c>
      <c r="P80" s="7" t="n">
        <v>66350</v>
      </c>
      <c r="Q80" s="7" t="n">
        <v>81277</v>
      </c>
      <c r="R80" s="7" t="n">
        <v>69350</v>
      </c>
      <c r="S80" s="6" t="n">
        <v>152</v>
      </c>
      <c r="T80" s="5" t="inlineStr">
        <is>
          <t>ار موتورز، ترحال، حى المروة، شركة، فرع الدمام، فرع الرياض، فرع جدة</t>
        </is>
      </c>
      <c r="U80" s="9">
        <f>IF('بحث سريع'!$B$3="",TRUE,P80&lt;='بحث سريع'!$B$3)</f>
        <v/>
      </c>
      <c r="V80" s="9">
        <f>IF('بحث سريع'!$B$4="الكل",TRUE,IF('بحث سريع'!$B$4="شبابي",J80="نعم",IF('بحث سريع'!$B$4="عائلي",K80="نعم",IF('بحث سريع'!$B$4="رياضي",L80="نعم",IF('بحث سريع'!$B$4="اقتصادي",M80="نعم",IF('بحث سريع'!$B$4="فاخم",N80="نعم",IF('بحث سريع'!$B$4="عملي",O80="نعم",FALSE)))))))</f>
        <v/>
      </c>
      <c r="W80" s="9">
        <f>IF('بحث سريع'!$B$5="الكل",TRUE,IF('بحث سريع'!$B$5="نعم",H80="نعم",H80="لا"))</f>
        <v/>
      </c>
      <c r="X80" s="9">
        <f>IF('بحث سريع'!$B$6="الكل",TRUE,A80='بحث سريع'!$B$6)</f>
        <v/>
      </c>
      <c r="Y80" s="9">
        <f>IF('بحث سريع'!$B$7="الكل",TRUE,E80='بحث سريع'!$B$7)</f>
        <v/>
      </c>
      <c r="Z80" s="9">
        <f>IF('بحث سريع'!$B$8="",TRUE,ISNUMBER(SEARCH('بحث سريع'!$B$8,A80&amp;" "&amp;B80&amp;" "&amp;C80)))</f>
        <v/>
      </c>
      <c r="AA80" s="9">
        <f>AND(U80:Z80)</f>
        <v/>
      </c>
    </row>
    <row r="81">
      <c r="A81" s="5" t="inlineStr">
        <is>
          <t>Ford</t>
        </is>
      </c>
      <c r="B81" s="5" t="inlineStr">
        <is>
          <t>Territory 1.8 L</t>
        </is>
      </c>
      <c r="C81" s="5" t="inlineStr">
        <is>
          <t>Titanium</t>
        </is>
      </c>
      <c r="D81" s="6" t="n">
        <v>2026</v>
      </c>
      <c r="E81" s="6" t="inlineStr">
        <is>
          <t>أوتوماتيك</t>
        </is>
      </c>
      <c r="F81" s="6" t="n">
        <v>1.8</v>
      </c>
      <c r="G81" s="6" t="inlineStr">
        <is>
          <t>جلد</t>
        </is>
      </c>
      <c r="H81" s="6" t="inlineStr">
        <is>
          <t>نعم</t>
        </is>
      </c>
      <c r="I81" s="5" t="inlineStr">
        <is>
          <t>عائلي، رياضي</t>
        </is>
      </c>
      <c r="J81" s="6" t="inlineStr">
        <is>
          <t>لا</t>
        </is>
      </c>
      <c r="K81" s="6" t="inlineStr">
        <is>
          <t>نعم</t>
        </is>
      </c>
      <c r="L81" s="6" t="inlineStr">
        <is>
          <t>نعم</t>
        </is>
      </c>
      <c r="M81" s="6" t="inlineStr">
        <is>
          <t>لا</t>
        </is>
      </c>
      <c r="N81" s="6" t="inlineStr">
        <is>
          <t>لا</t>
        </is>
      </c>
      <c r="O81" s="6" t="inlineStr">
        <is>
          <t>لا</t>
        </is>
      </c>
      <c r="P81" s="7" t="n">
        <v>124425</v>
      </c>
      <c r="Q81" s="7" t="n">
        <v>124425</v>
      </c>
      <c r="R81" s="7" t="n">
        <v>127425</v>
      </c>
      <c r="S81" s="6" t="n">
        <v>2</v>
      </c>
      <c r="T81" s="5" t="inlineStr">
        <is>
          <t>فرع الدمام</t>
        </is>
      </c>
      <c r="U81" s="9">
        <f>IF('بحث سريع'!$B$3="",TRUE,P81&lt;='بحث سريع'!$B$3)</f>
        <v/>
      </c>
      <c r="V81" s="9">
        <f>IF('بحث سريع'!$B$4="الكل",TRUE,IF('بحث سريع'!$B$4="شبابي",J81="نعم",IF('بحث سريع'!$B$4="عائلي",K81="نعم",IF('بحث سريع'!$B$4="رياضي",L81="نعم",IF('بحث سريع'!$B$4="اقتصادي",M81="نعم",IF('بحث سريع'!$B$4="فاخم",N81="نعم",IF('بحث سريع'!$B$4="عملي",O81="نعم",FALSE)))))))</f>
        <v/>
      </c>
      <c r="W81" s="9">
        <f>IF('بحث سريع'!$B$5="الكل",TRUE,IF('بحث سريع'!$B$5="نعم",H81="نعم",H81="لا"))</f>
        <v/>
      </c>
      <c r="X81" s="9">
        <f>IF('بحث سريع'!$B$6="الكل",TRUE,A81='بحث سريع'!$B$6)</f>
        <v/>
      </c>
      <c r="Y81" s="9">
        <f>IF('بحث سريع'!$B$7="الكل",TRUE,E81='بحث سريع'!$B$7)</f>
        <v/>
      </c>
      <c r="Z81" s="9">
        <f>IF('بحث سريع'!$B$8="",TRUE,ISNUMBER(SEARCH('بحث سريع'!$B$8,A81&amp;" "&amp;B81&amp;" "&amp;C81)))</f>
        <v/>
      </c>
      <c r="AA81" s="9">
        <f>AND(U81:Z81)</f>
        <v/>
      </c>
    </row>
    <row r="82">
      <c r="A82" s="5" t="inlineStr">
        <is>
          <t>Ford</t>
        </is>
      </c>
      <c r="B82" s="5" t="inlineStr">
        <is>
          <t>Territory 1.8 L</t>
        </is>
      </c>
      <c r="C82" s="5" t="inlineStr">
        <is>
          <t>Trend</t>
        </is>
      </c>
      <c r="D82" s="6" t="n">
        <v>2026</v>
      </c>
      <c r="E82" s="6" t="inlineStr">
        <is>
          <t>أوتوماتيك</t>
        </is>
      </c>
      <c r="F82" s="6" t="n">
        <v>1.8</v>
      </c>
      <c r="G82" s="6" t="inlineStr">
        <is>
          <t>جلد</t>
        </is>
      </c>
      <c r="H82" s="6" t="inlineStr">
        <is>
          <t>نعم</t>
        </is>
      </c>
      <c r="I82" s="5" t="inlineStr">
        <is>
          <t>عملي</t>
        </is>
      </c>
      <c r="J82" s="6" t="inlineStr">
        <is>
          <t>لا</t>
        </is>
      </c>
      <c r="K82" s="6" t="inlineStr">
        <is>
          <t>لا</t>
        </is>
      </c>
      <c r="L82" s="6" t="inlineStr">
        <is>
          <t>لا</t>
        </is>
      </c>
      <c r="M82" s="6" t="inlineStr">
        <is>
          <t>لا</t>
        </is>
      </c>
      <c r="N82" s="6" t="inlineStr">
        <is>
          <t>لا</t>
        </is>
      </c>
      <c r="O82" s="6" t="inlineStr">
        <is>
          <t>نعم</t>
        </is>
      </c>
      <c r="P82" s="7" t="n">
        <v>106025</v>
      </c>
      <c r="Q82" s="7" t="n">
        <v>106025</v>
      </c>
      <c r="R82" s="7" t="n">
        <v>109025</v>
      </c>
      <c r="S82" s="6" t="n">
        <v>2</v>
      </c>
      <c r="T82" s="5" t="inlineStr">
        <is>
          <t>فرع الدمام، فرع الرياض</t>
        </is>
      </c>
      <c r="U82" s="9">
        <f>IF('بحث سريع'!$B$3="",TRUE,P82&lt;='بحث سريع'!$B$3)</f>
        <v/>
      </c>
      <c r="V82" s="9">
        <f>IF('بحث سريع'!$B$4="الكل",TRUE,IF('بحث سريع'!$B$4="شبابي",J82="نعم",IF('بحث سريع'!$B$4="عائلي",K82="نعم",IF('بحث سريع'!$B$4="رياضي",L82="نعم",IF('بحث سريع'!$B$4="اقتصادي",M82="نعم",IF('بحث سريع'!$B$4="فاخم",N82="نعم",IF('بحث سريع'!$B$4="عملي",O82="نعم",FALSE)))))))</f>
        <v/>
      </c>
      <c r="W82" s="9">
        <f>IF('بحث سريع'!$B$5="الكل",TRUE,IF('بحث سريع'!$B$5="نعم",H82="نعم",H82="لا"))</f>
        <v/>
      </c>
      <c r="X82" s="9">
        <f>IF('بحث سريع'!$B$6="الكل",TRUE,A82='بحث سريع'!$B$6)</f>
        <v/>
      </c>
      <c r="Y82" s="9">
        <f>IF('بحث سريع'!$B$7="الكل",TRUE,E82='بحث سريع'!$B$7)</f>
        <v/>
      </c>
      <c r="Z82" s="9">
        <f>IF('بحث سريع'!$B$8="",TRUE,ISNUMBER(SEARCH('بحث سريع'!$B$8,A82&amp;" "&amp;B82&amp;" "&amp;C82)))</f>
        <v/>
      </c>
      <c r="AA82" s="9">
        <f>AND(U82:Z82)</f>
        <v/>
      </c>
    </row>
    <row r="83">
      <c r="A83" s="5" t="inlineStr">
        <is>
          <t>Ford</t>
        </is>
      </c>
      <c r="B83" s="5" t="inlineStr">
        <is>
          <t>Territory 1.8 L</t>
        </is>
      </c>
      <c r="C83" s="5" t="inlineStr">
        <is>
          <t>Ambiente</t>
        </is>
      </c>
      <c r="D83" s="6" t="n">
        <v>2026</v>
      </c>
      <c r="E83" s="6" t="inlineStr">
        <is>
          <t>أوتوماتيك</t>
        </is>
      </c>
      <c r="F83" s="6" t="n">
        <v>1.8</v>
      </c>
      <c r="G83" s="6" t="inlineStr">
        <is>
          <t>قماش</t>
        </is>
      </c>
      <c r="H83" s="6" t="inlineStr">
        <is>
          <t>لا</t>
        </is>
      </c>
      <c r="I83" s="5" t="inlineStr">
        <is>
          <t>عائلي، رياضي</t>
        </is>
      </c>
      <c r="J83" s="6" t="inlineStr">
        <is>
          <t>لا</t>
        </is>
      </c>
      <c r="K83" s="6" t="inlineStr">
        <is>
          <t>نعم</t>
        </is>
      </c>
      <c r="L83" s="6" t="inlineStr">
        <is>
          <t>نعم</t>
        </is>
      </c>
      <c r="M83" s="6" t="inlineStr">
        <is>
          <t>لا</t>
        </is>
      </c>
      <c r="N83" s="6" t="inlineStr">
        <is>
          <t>لا</t>
        </is>
      </c>
      <c r="O83" s="6" t="inlineStr">
        <is>
          <t>لا</t>
        </is>
      </c>
      <c r="P83" s="7" t="n">
        <v>94146</v>
      </c>
      <c r="Q83" s="7" t="n">
        <v>94640</v>
      </c>
      <c r="R83" s="7" t="n">
        <v>97146</v>
      </c>
      <c r="S83" s="6" t="n">
        <v>2</v>
      </c>
      <c r="T83" s="5" t="inlineStr">
        <is>
          <t>فرع جدة، معرض الموتر العريق</t>
        </is>
      </c>
      <c r="U83" s="9">
        <f>IF('بحث سريع'!$B$3="",TRUE,P83&lt;='بحث سريع'!$B$3)</f>
        <v/>
      </c>
      <c r="V83" s="9">
        <f>IF('بحث سريع'!$B$4="الكل",TRUE,IF('بحث سريع'!$B$4="شبابي",J83="نعم",IF('بحث سريع'!$B$4="عائلي",K83="نعم",IF('بحث سريع'!$B$4="رياضي",L83="نعم",IF('بحث سريع'!$B$4="اقتصادي",M83="نعم",IF('بحث سريع'!$B$4="فاخم",N83="نعم",IF('بحث سريع'!$B$4="عملي",O83="نعم",FALSE)))))))</f>
        <v/>
      </c>
      <c r="W83" s="9">
        <f>IF('بحث سريع'!$B$5="الكل",TRUE,IF('بحث سريع'!$B$5="نعم",H83="نعم",H83="لا"))</f>
        <v/>
      </c>
      <c r="X83" s="9">
        <f>IF('بحث سريع'!$B$6="الكل",TRUE,A83='بحث سريع'!$B$6)</f>
        <v/>
      </c>
      <c r="Y83" s="9">
        <f>IF('بحث سريع'!$B$7="الكل",TRUE,E83='بحث سريع'!$B$7)</f>
        <v/>
      </c>
      <c r="Z83" s="9">
        <f>IF('بحث سريع'!$B$8="",TRUE,ISNUMBER(SEARCH('بحث سريع'!$B$8,A83&amp;" "&amp;B83&amp;" "&amp;C83)))</f>
        <v/>
      </c>
      <c r="AA83" s="9">
        <f>AND(U83:Z83)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2026-07-07T02:52:10Z</dcterms:created>
  <dcterms:modified xsi:type="dcterms:W3CDTF">2026-07-07T02:53:48Z</dcterms:modified>
</cp:coreProperties>
</file>